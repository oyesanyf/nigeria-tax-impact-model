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ik\OneDrive\Dokumente\DATA\Desktop\Q4 2023 GDP\Rebasing 2019 Report\Preparation for Validation\Preparation for Validation\IMF presentation\"/>
    </mc:Choice>
  </mc:AlternateContent>
  <xr:revisionPtr revIDLastSave="0" documentId="13_ncr:1_{265B045F-4F06-4C02-918F-0A1BA9BA63EA}" xr6:coauthVersionLast="47" xr6:coauthVersionMax="47" xr10:uidLastSave="{00000000-0000-0000-0000-000000000000}"/>
  <bookViews>
    <workbookView xWindow="1808" yWindow="1808" windowWidth="13499" windowHeight="9307" firstSheet="3" activeTab="3" xr2:uid="{EE76095C-0A75-4A20-A141-649D38FE4429}"/>
  </bookViews>
  <sheets>
    <sheet name="GDP_Current%" sheetId="1" r:id="rId1"/>
    <sheet name="Nominal GDP growth rate%" sheetId="3" r:id="rId2"/>
    <sheet name="Real growth rate %" sheetId="5" r:id="rId3"/>
    <sheet name="Contr_Growth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5" l="1"/>
  <c r="F5" i="5"/>
  <c r="E6" i="5"/>
  <c r="F6" i="5"/>
  <c r="E7" i="5"/>
  <c r="F7" i="5"/>
  <c r="E8" i="5"/>
  <c r="F8" i="5"/>
  <c r="E10" i="5"/>
  <c r="F10" i="5"/>
  <c r="E11" i="5"/>
  <c r="F11" i="5"/>
  <c r="E12" i="5"/>
  <c r="F12" i="5"/>
  <c r="E13" i="5"/>
  <c r="F13" i="5"/>
  <c r="E15" i="5"/>
  <c r="F15" i="5"/>
  <c r="E16" i="5"/>
  <c r="F16" i="5"/>
  <c r="E17" i="5"/>
  <c r="F17" i="5"/>
  <c r="E18" i="5"/>
  <c r="F18" i="5"/>
  <c r="E19" i="5"/>
  <c r="F19" i="5"/>
  <c r="E20" i="5"/>
  <c r="F20" i="5"/>
  <c r="E21" i="5"/>
  <c r="F21" i="5"/>
  <c r="E22" i="5"/>
  <c r="F22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E31" i="5"/>
  <c r="F31" i="5"/>
  <c r="E32" i="5"/>
  <c r="F32" i="5"/>
  <c r="E34" i="5"/>
  <c r="F34" i="5"/>
  <c r="E35" i="5"/>
  <c r="F35" i="5"/>
  <c r="E36" i="5"/>
  <c r="F36" i="5"/>
  <c r="E37" i="5"/>
  <c r="F37" i="5"/>
  <c r="E38" i="5"/>
  <c r="F38" i="5"/>
  <c r="E39" i="5"/>
  <c r="F39" i="5"/>
  <c r="E41" i="5"/>
  <c r="F41" i="5"/>
  <c r="E42" i="5"/>
  <c r="F42" i="5"/>
  <c r="E43" i="5"/>
  <c r="F43" i="5"/>
  <c r="E44" i="5"/>
  <c r="F44" i="5"/>
  <c r="E45" i="5"/>
  <c r="F45" i="5"/>
  <c r="E47" i="5"/>
  <c r="F47" i="5"/>
  <c r="E48" i="5"/>
  <c r="F48" i="5"/>
  <c r="E49" i="5"/>
  <c r="F49" i="5"/>
  <c r="E50" i="5"/>
  <c r="F50" i="5"/>
  <c r="E51" i="5"/>
  <c r="F51" i="5"/>
  <c r="E52" i="5"/>
  <c r="F52" i="5"/>
  <c r="E53" i="5"/>
  <c r="F53" i="5"/>
  <c r="E54" i="5"/>
  <c r="F54" i="5"/>
  <c r="E55" i="5"/>
  <c r="F55" i="5"/>
  <c r="E57" i="5"/>
  <c r="F57" i="5"/>
  <c r="G12" i="2" l="1"/>
  <c r="F12" i="2"/>
  <c r="E6" i="3"/>
  <c r="F6" i="3"/>
  <c r="E7" i="3"/>
  <c r="F7" i="3"/>
  <c r="E8" i="3"/>
  <c r="F8" i="3"/>
  <c r="E10" i="3"/>
  <c r="F10" i="3"/>
  <c r="E11" i="3"/>
  <c r="F11" i="3"/>
  <c r="E12" i="3"/>
  <c r="F12" i="3"/>
  <c r="E13" i="3"/>
  <c r="F13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4" i="3"/>
  <c r="F34" i="3"/>
  <c r="E35" i="3"/>
  <c r="F35" i="3"/>
  <c r="E36" i="3"/>
  <c r="F36" i="3"/>
  <c r="E37" i="3"/>
  <c r="F37" i="3"/>
  <c r="E38" i="3"/>
  <c r="F38" i="3"/>
  <c r="E39" i="3"/>
  <c r="F39" i="3"/>
  <c r="E41" i="3"/>
  <c r="F41" i="3"/>
  <c r="E42" i="3"/>
  <c r="F42" i="3"/>
  <c r="E43" i="3"/>
  <c r="F43" i="3"/>
  <c r="E44" i="3"/>
  <c r="F44" i="3"/>
  <c r="E45" i="3"/>
  <c r="F45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7" i="3"/>
  <c r="F57" i="3"/>
  <c r="E5" i="3"/>
  <c r="F5" i="3"/>
</calcChain>
</file>

<file path=xl/sharedStrings.xml><?xml version="1.0" encoding="utf-8"?>
<sst xmlns="http://schemas.openxmlformats.org/spreadsheetml/2006/main" count="410" uniqueCount="80">
  <si>
    <t>AGRICULTURE</t>
  </si>
  <si>
    <t xml:space="preserve">       1. Crop Production</t>
  </si>
  <si>
    <t xml:space="preserve">       2. Livestock</t>
  </si>
  <si>
    <t xml:space="preserve">       3.  Forestry</t>
  </si>
  <si>
    <t xml:space="preserve">       4.  Fishing</t>
  </si>
  <si>
    <t>MINING AND QUARRYING</t>
  </si>
  <si>
    <t xml:space="preserve">       5. Crude Petroleum and Natural Gas</t>
  </si>
  <si>
    <t xml:space="preserve">       6. Coal Mining</t>
  </si>
  <si>
    <t xml:space="preserve">       7.  Metal Ores</t>
  </si>
  <si>
    <t xml:space="preserve">       8. Quarrying and Other Minerals</t>
  </si>
  <si>
    <t>MANUFACTURING</t>
  </si>
  <si>
    <t xml:space="preserve">       9.  Oil Refining</t>
  </si>
  <si>
    <t xml:space="preserve">       10. Cement</t>
  </si>
  <si>
    <t xml:space="preserve">       11. Food, Beverage and Tobacco</t>
  </si>
  <si>
    <t xml:space="preserve">       12. Textile, Apparel and Footwear</t>
  </si>
  <si>
    <t xml:space="preserve">       13. Wood and Wood Products</t>
  </si>
  <si>
    <t xml:space="preserve">       14. Pulp, Paper and Paper  Products</t>
  </si>
  <si>
    <t xml:space="preserve">       15. Chemical and  Pharmaceutical Products </t>
  </si>
  <si>
    <t xml:space="preserve">       16. Non-Metallic Products</t>
  </si>
  <si>
    <t xml:space="preserve">       17. Plastic and Rubber products</t>
  </si>
  <si>
    <t xml:space="preserve">       18. Electrical and Electronics</t>
  </si>
  <si>
    <t xml:space="preserve">       19. Basic metal , Iron and Steel</t>
  </si>
  <si>
    <t xml:space="preserve">       20. Motor vehicles &amp;  assembly</t>
  </si>
  <si>
    <t xml:space="preserve">       21. Other Manufacturing</t>
  </si>
  <si>
    <t>22. ELECTRICITY, GAS ,STEAM AND AIR CONDITIONING SUPPLY</t>
  </si>
  <si>
    <t>23. WATER SUPPLY,SEWERAGE, WASTE MANAGEMENT AND REMEDIATION</t>
  </si>
  <si>
    <t>24. CONSTRUCTION</t>
  </si>
  <si>
    <t>25.  TRADE</t>
  </si>
  <si>
    <t>26. ACCOMMODATION AND FOOD SERVICES</t>
  </si>
  <si>
    <t>TRANSPORTATION AND STORAGE</t>
  </si>
  <si>
    <t xml:space="preserve">        27.  Road Transport</t>
  </si>
  <si>
    <t xml:space="preserve">        28.  Rail Transport &amp; Pipelines</t>
  </si>
  <si>
    <t xml:space="preserve">        29. Water Transport</t>
  </si>
  <si>
    <t xml:space="preserve">        30. Air Transport</t>
  </si>
  <si>
    <t xml:space="preserve">        31. Transport Services</t>
  </si>
  <si>
    <t xml:space="preserve">        32. Post and Courier Services</t>
  </si>
  <si>
    <t>INFORMATION AND COMMUNICATION</t>
  </si>
  <si>
    <t xml:space="preserve">          33. Telecommunications</t>
  </si>
  <si>
    <t xml:space="preserve">          34.  Publishing,  </t>
  </si>
  <si>
    <t xml:space="preserve">          34. Motion Pictures, Sound recording and  Music production    </t>
  </si>
  <si>
    <t xml:space="preserve">       36. Broadcasting</t>
  </si>
  <si>
    <t>37.ARTS, ENTERTAINMENT AND RECREATION</t>
  </si>
  <si>
    <t>FINANCIAL AND INSURANCE</t>
  </si>
  <si>
    <t xml:space="preserve">         38. Financial Institutions</t>
  </si>
  <si>
    <t xml:space="preserve">       39. Insurance</t>
  </si>
  <si>
    <t>40. REAL ESTATE</t>
  </si>
  <si>
    <t>41. PROFESSIONAL, SCIENTIFIC AND TECHNICAL SERVICES</t>
  </si>
  <si>
    <t>42. ADMINISTRATIVE &amp; SUPPORT SERVICES</t>
  </si>
  <si>
    <t>43. PUBLIC ADMINISTRATION</t>
  </si>
  <si>
    <t>44. EDUCATION</t>
  </si>
  <si>
    <t>45. HUMAN HEALTH AND SOCIAL SERVICES</t>
  </si>
  <si>
    <t>46. OTHER SERVICES</t>
  </si>
  <si>
    <t>GDP  Current Basic Price</t>
  </si>
  <si>
    <t>2019</t>
  </si>
  <si>
    <t>2021</t>
  </si>
  <si>
    <t>Gross Domestic Product At  Current Basic Prices (=N=Million)</t>
  </si>
  <si>
    <t xml:space="preserve">Implicit Price Deflators </t>
  </si>
  <si>
    <t>CONTRIBUTION TO GDP</t>
  </si>
  <si>
    <t>INDUSTRIES</t>
  </si>
  <si>
    <t>SERVICES</t>
  </si>
  <si>
    <t xml:space="preserve">NON OIL </t>
  </si>
  <si>
    <t xml:space="preserve">OIL </t>
  </si>
  <si>
    <t>GROWTH</t>
  </si>
  <si>
    <t>REAL GROWTH RATE AT BASIC PRICE</t>
  </si>
  <si>
    <t>REAL GROWTH RATE AT MARKET PRICE</t>
  </si>
  <si>
    <t>NON OIL GROWTH RATE</t>
  </si>
  <si>
    <t>OIL GROWTH RATE</t>
  </si>
  <si>
    <t>TOTAL</t>
  </si>
  <si>
    <t>Net Indirect Taxes on Products</t>
  </si>
  <si>
    <t>GDP  Current Market  Price</t>
  </si>
  <si>
    <t>GDP  Constant Market  Price</t>
  </si>
  <si>
    <t xml:space="preserve">Gross Domestic Product At Current Basic Prices Percentage Distribution (%) </t>
  </si>
  <si>
    <t xml:space="preserve">Gross Domestic Product At Constant Basic Prices Percentage Distribution (%) </t>
  </si>
  <si>
    <t>Gross Domestic Product At 2019 Constant Basic Prices (=N=Million)</t>
  </si>
  <si>
    <t>GDP  Constant Basic Price</t>
  </si>
  <si>
    <t>Total</t>
  </si>
  <si>
    <t>Growth Rate of Gross Domestic Product At  Current Basic Prices (%)</t>
  </si>
  <si>
    <t>Gross Domestic Product At 2019 Constant Basic Prices (%)</t>
  </si>
  <si>
    <t>GDP at Constant Basic Price</t>
  </si>
  <si>
    <t>GDP at Current Basic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</si>
</sst>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rgb="FF993300"/>
      <name val="Arial"/>
      <family val="2"/>
    </font>
    <font>
      <b/>
      <sz val="16"/>
      <color rgb="FF800000"/>
      <name val="Arial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1"/>
      <color rgb="FF993300"/>
      <name val="Arial"/>
      <family val="2"/>
    </font>
    <font>
      <b/>
      <sz val="10"/>
      <color indexed="6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43" fontId="0" fillId="0" borderId="0" xfId="0" applyNumberFormat="1"/>
    <xf numFmtId="43" fontId="0" fillId="0" borderId="0" xfId="1" applyFont="1"/>
    <xf numFmtId="43" fontId="2" fillId="0" borderId="0" xfId="1" applyFont="1"/>
    <xf numFmtId="0" fontId="5" fillId="0" borderId="0" xfId="0" applyFont="1"/>
    <xf numFmtId="0" fontId="6" fillId="0" borderId="0" xfId="0" applyFont="1"/>
    <xf numFmtId="43" fontId="6" fillId="0" borderId="0" xfId="0" applyNumberFormat="1" applyFont="1"/>
    <xf numFmtId="0" fontId="6" fillId="0" borderId="0" xfId="0" applyFont="1" applyFill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11" fillId="0" borderId="0" xfId="0" applyFont="1" applyBorder="1"/>
    <xf numFmtId="0" fontId="11" fillId="0" borderId="0" xfId="0" applyNumberFormat="1" applyFont="1" applyBorder="1" applyAlignment="1">
      <alignment horizontal="center"/>
    </xf>
    <xf numFmtId="0" fontId="2" fillId="0" borderId="0" xfId="0" applyFont="1" applyFill="1" applyBorder="1"/>
    <xf numFmtId="43" fontId="0" fillId="0" borderId="0" xfId="0" applyNumberFormat="1" applyBorder="1" applyAlignment="1">
      <alignment horizontal="center"/>
    </xf>
    <xf numFmtId="0" fontId="3" fillId="0" borderId="0" xfId="0" applyFont="1" applyFill="1" applyBorder="1"/>
    <xf numFmtId="43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13" fillId="0" borderId="0" xfId="0" applyFont="1" applyBorder="1" applyAlignment="1">
      <alignment horizontal="left"/>
    </xf>
    <xf numFmtId="43" fontId="2" fillId="0" borderId="0" xfId="1" applyFont="1" applyBorder="1" applyAlignment="1">
      <alignment horizontal="center"/>
    </xf>
    <xf numFmtId="164" fontId="11" fillId="0" borderId="0" xfId="0" applyNumberFormat="1" applyFont="1" applyBorder="1"/>
    <xf numFmtId="43" fontId="0" fillId="0" borderId="0" xfId="1" applyFont="1" applyBorder="1" applyAlignment="1">
      <alignment horizontal="center"/>
    </xf>
    <xf numFmtId="43" fontId="2" fillId="0" borderId="0" xfId="1" applyFont="1" applyBorder="1"/>
    <xf numFmtId="0" fontId="4" fillId="0" borderId="0" xfId="0" applyFont="1" applyBorder="1" applyAlignment="1">
      <alignment horizontal="left"/>
    </xf>
    <xf numFmtId="0" fontId="11" fillId="0" borderId="0" xfId="0" applyNumberFormat="1" applyFont="1" applyBorder="1" applyAlignment="1">
      <alignment horizontal="right"/>
    </xf>
    <xf numFmtId="0" fontId="13" fillId="0" borderId="0" xfId="0" applyFont="1" applyBorder="1"/>
    <xf numFmtId="0" fontId="12" fillId="0" borderId="0" xfId="0" applyFont="1" applyBorder="1"/>
    <xf numFmtId="43" fontId="0" fillId="0" borderId="0" xfId="1" applyFont="1" applyBorder="1"/>
    <xf numFmtId="164" fontId="12" fillId="0" borderId="0" xfId="1" applyNumberFormat="1" applyFont="1" applyFill="1" applyBorder="1"/>
    <xf numFmtId="0" fontId="4" fillId="0" borderId="0" xfId="0" applyFont="1" applyBorder="1"/>
    <xf numFmtId="164" fontId="7" fillId="0" borderId="0" xfId="0" applyNumberFormat="1" applyFont="1" applyBorder="1"/>
    <xf numFmtId="0" fontId="6" fillId="0" borderId="0" xfId="0" applyFont="1" applyBorder="1"/>
    <xf numFmtId="0" fontId="8" fillId="0" borderId="0" xfId="0" applyFont="1" applyBorder="1"/>
    <xf numFmtId="0" fontId="5" fillId="0" borderId="0" xfId="0" applyFont="1" applyFill="1" applyBorder="1"/>
    <xf numFmtId="0" fontId="6" fillId="0" borderId="0" xfId="0" applyFont="1" applyFill="1" applyBorder="1"/>
    <xf numFmtId="0" fontId="5" fillId="0" borderId="0" xfId="0" applyFont="1" applyBorder="1"/>
    <xf numFmtId="43" fontId="6" fillId="0" borderId="0" xfId="1" applyFont="1" applyFill="1" applyBorder="1"/>
    <xf numFmtId="43" fontId="6" fillId="0" borderId="0" xfId="0" applyNumberFormat="1" applyFont="1" applyBorder="1"/>
    <xf numFmtId="43" fontId="6" fillId="0" borderId="0" xfId="0" applyNumberFormat="1" applyFont="1" applyFill="1" applyBorder="1"/>
    <xf numFmtId="43" fontId="6" fillId="0" borderId="0" xfId="1" applyFont="1" applyBorder="1"/>
    <xf numFmtId="0" fontId="9" fillId="0" borderId="0" xfId="0" applyFont="1" applyBorder="1"/>
    <xf numFmtId="0" fontId="6" fillId="0" borderId="0" xfId="0" applyFont="1" applyBorder="1" applyAlignment="1">
      <alignment horizontal="left"/>
    </xf>
    <xf numFmtId="0" fontId="10" fillId="0" borderId="0" xfId="0" applyFont="1" applyBorder="1"/>
    <xf numFmtId="43" fontId="2" fillId="0" borderId="0" xfId="0" applyNumberFormat="1" applyFont="1" applyBorder="1"/>
    <xf numFmtId="0" fontId="0" fillId="0" borderId="0" xfId="0"/>
    <xf numFmtId="43" fontId="0" fillId="0" borderId="0" xfId="0" applyNumberFormat="1"/>
    <xf numFmtId="43" fontId="0" fillId="0" borderId="0" xfId="3" applyFont="1" applyAlignment="1">
      <alignment horizontal="center"/>
    </xf>
    <xf numFmtId="43" fontId="2" fillId="0" borderId="0" xfId="0" applyNumberFormat="1" applyFont="1"/>
    <xf numFmtId="43" fontId="0" fillId="0" borderId="0" xfId="0" applyNumberFormat="1" applyBorder="1"/>
    <xf numFmtId="43" fontId="2" fillId="0" borderId="0" xfId="1" applyFont="1" applyFill="1" applyBorder="1" applyAlignment="1">
      <alignment horizontal="center"/>
    </xf>
    <xf numFmtId="43" fontId="2" fillId="0" borderId="0" xfId="3" applyFont="1" applyFill="1" applyAlignment="1">
      <alignment horizontal="center"/>
    </xf>
    <xf numFmtId="0" fontId="0" fillId="0" borderId="0" xfId="0" applyFill="1"/>
  </cellXfs>
  <cellStyles count="4">
    <cellStyle name="Comma" xfId="1" builtinId="3"/>
    <cellStyle name="Comma 2" xfId="3" xr:uid="{3DF318DB-B25C-4E5A-9F5B-0A253099651F}"/>
    <cellStyle name="Normal" xfId="0" builtinId="0"/>
    <cellStyle name="Normal 2" xfId="2" xr:uid="{83392C90-F8BF-46A4-8657-0975343DB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D5D6-E8FA-493A-B1F3-900FDE5CDF57}">
  <dimension ref="A1:J295"/>
  <sheetViews>
    <sheetView topLeftCell="A95" zoomScale="60" zoomScaleNormal="60" workbookViewId="0">
      <selection activeCell="E178" sqref="E178"/>
    </sheetView>
  </sheetViews>
  <sheetFormatPr defaultRowHeight="14.25" x14ac:dyDescent="0.45"/>
  <cols>
    <col min="1" max="1" width="34.265625" style="9" customWidth="1"/>
    <col min="2" max="2" width="15.3984375" style="10" customWidth="1"/>
    <col min="3" max="3" width="16.46484375" style="10" customWidth="1"/>
    <col min="4" max="4" width="15.59765625" style="10" customWidth="1"/>
    <col min="5" max="5" width="15.3984375" style="10" customWidth="1"/>
    <col min="6" max="6" width="16.6640625" style="10" customWidth="1"/>
    <col min="7" max="7" width="15" style="12" customWidth="1"/>
    <col min="8" max="8" width="10.9296875" style="12" bestFit="1" customWidth="1"/>
    <col min="9" max="9" width="11.1328125" customWidth="1"/>
    <col min="10" max="10" width="10.73046875" customWidth="1"/>
  </cols>
  <sheetData>
    <row r="1" spans="1:10" x14ac:dyDescent="0.45">
      <c r="C1" s="11"/>
    </row>
    <row r="2" spans="1:10" x14ac:dyDescent="0.45">
      <c r="A2" s="13" t="s">
        <v>55</v>
      </c>
      <c r="B2" s="14" t="s">
        <v>53</v>
      </c>
      <c r="C2" s="14">
        <v>2020</v>
      </c>
      <c r="D2" s="14" t="s">
        <v>54</v>
      </c>
      <c r="E2" s="14">
        <v>2022</v>
      </c>
      <c r="F2" s="14">
        <v>2023</v>
      </c>
      <c r="G2" s="14">
        <v>2024</v>
      </c>
    </row>
    <row r="3" spans="1:10" x14ac:dyDescent="0.45">
      <c r="A3" s="15"/>
      <c r="E3" s="16"/>
      <c r="F3" s="16"/>
      <c r="G3" s="16"/>
    </row>
    <row r="4" spans="1:10" x14ac:dyDescent="0.45">
      <c r="A4" s="9" t="s">
        <v>0</v>
      </c>
      <c r="B4" s="18"/>
      <c r="C4" s="18"/>
      <c r="D4" s="18"/>
      <c r="E4" s="18"/>
      <c r="F4" s="18"/>
      <c r="G4" s="18"/>
    </row>
    <row r="5" spans="1:10" x14ac:dyDescent="0.45">
      <c r="A5" s="9" t="s">
        <v>1</v>
      </c>
      <c r="B5" s="16">
        <v>35925188.668071829</v>
      </c>
      <c r="C5" s="16">
        <v>41220372.153119504</v>
      </c>
      <c r="D5" s="16">
        <v>48305043.504125886</v>
      </c>
      <c r="E5" s="16">
        <v>50186279.27857919</v>
      </c>
      <c r="F5" s="16">
        <v>56895936.239783876</v>
      </c>
      <c r="G5" s="16">
        <v>61916574.445443131</v>
      </c>
    </row>
    <row r="6" spans="1:10" x14ac:dyDescent="0.45">
      <c r="A6" s="9" t="s">
        <v>2</v>
      </c>
      <c r="B6" s="16">
        <v>11761131.865201581</v>
      </c>
      <c r="C6" s="16">
        <v>13695439.713666722</v>
      </c>
      <c r="D6" s="16">
        <v>16999300.035327364</v>
      </c>
      <c r="E6" s="16">
        <v>20859132.007384881</v>
      </c>
      <c r="F6" s="16">
        <v>21636500.537806425</v>
      </c>
      <c r="G6" s="16">
        <v>24798473.627346367</v>
      </c>
    </row>
    <row r="7" spans="1:10" x14ac:dyDescent="0.45">
      <c r="A7" s="9" t="s">
        <v>3</v>
      </c>
      <c r="B7" s="16">
        <v>2695042.5786405671</v>
      </c>
      <c r="C7" s="16">
        <v>2959349.9710791414</v>
      </c>
      <c r="D7" s="16">
        <v>3428890.3713827012</v>
      </c>
      <c r="E7" s="16">
        <v>4255270.1587797096</v>
      </c>
      <c r="F7" s="16">
        <v>4857350.1247792756</v>
      </c>
      <c r="G7" s="16">
        <v>5282876.4015850155</v>
      </c>
    </row>
    <row r="8" spans="1:10" x14ac:dyDescent="0.45">
      <c r="A8" s="9" t="s">
        <v>4</v>
      </c>
      <c r="B8" s="16">
        <v>2398510.3753301455</v>
      </c>
      <c r="C8" s="16">
        <v>2680966.0538213463</v>
      </c>
      <c r="D8" s="16">
        <v>2769224.1319877333</v>
      </c>
      <c r="E8" s="16">
        <v>2997299.847482169</v>
      </c>
      <c r="F8" s="16">
        <v>3652185.8769241162</v>
      </c>
      <c r="G8" s="16">
        <v>4463771.7862012787</v>
      </c>
    </row>
    <row r="9" spans="1:10" x14ac:dyDescent="0.45">
      <c r="A9" s="9" t="s">
        <v>5</v>
      </c>
      <c r="B9" s="18"/>
      <c r="C9" s="18"/>
      <c r="D9" s="18"/>
      <c r="E9" s="18"/>
      <c r="F9" s="16"/>
      <c r="G9" s="16"/>
      <c r="H9" s="50"/>
      <c r="I9" s="50"/>
      <c r="J9" s="50"/>
    </row>
    <row r="10" spans="1:10" x14ac:dyDescent="0.45">
      <c r="A10" s="9" t="s">
        <v>6</v>
      </c>
      <c r="B10" s="16">
        <v>11952449.60501083</v>
      </c>
      <c r="C10" s="16">
        <v>10195625.942668226</v>
      </c>
      <c r="D10" s="16">
        <v>9636017.9196104705</v>
      </c>
      <c r="E10" s="16">
        <v>11972758.045226805</v>
      </c>
      <c r="F10" s="16">
        <v>13106151.874069056</v>
      </c>
      <c r="G10" s="16">
        <v>14601245.800026661</v>
      </c>
      <c r="H10" s="50"/>
      <c r="I10" s="50"/>
      <c r="J10" s="50"/>
    </row>
    <row r="11" spans="1:10" x14ac:dyDescent="0.45">
      <c r="A11" s="9" t="s">
        <v>7</v>
      </c>
      <c r="B11" s="16">
        <v>22818.997244046972</v>
      </c>
      <c r="C11" s="16">
        <v>20815.018997564046</v>
      </c>
      <c r="D11" s="16">
        <v>22002.008233139866</v>
      </c>
      <c r="E11" s="16">
        <v>23065.54925817957</v>
      </c>
      <c r="F11" s="16">
        <v>24619.388662157071</v>
      </c>
      <c r="G11" s="16">
        <v>24357.130965899632</v>
      </c>
    </row>
    <row r="12" spans="1:10" x14ac:dyDescent="0.45">
      <c r="A12" s="9" t="s">
        <v>8</v>
      </c>
      <c r="B12" s="16">
        <v>39131.433106721866</v>
      </c>
      <c r="C12" s="16">
        <v>13819.602699878476</v>
      </c>
      <c r="D12" s="16">
        <v>79290.391054238455</v>
      </c>
      <c r="E12" s="16">
        <v>117744.49181564181</v>
      </c>
      <c r="F12" s="16">
        <v>188504.96549325832</v>
      </c>
      <c r="G12" s="16">
        <v>366581.29641962843</v>
      </c>
    </row>
    <row r="13" spans="1:10" x14ac:dyDescent="0.45">
      <c r="A13" s="9" t="s">
        <v>9</v>
      </c>
      <c r="B13" s="16">
        <v>388037.89261380001</v>
      </c>
      <c r="C13" s="16">
        <v>436862.79789644363</v>
      </c>
      <c r="D13" s="16">
        <v>469766.06187845452</v>
      </c>
      <c r="E13" s="16">
        <v>531232.59097252192</v>
      </c>
      <c r="F13" s="16">
        <v>581341.32209194114</v>
      </c>
      <c r="G13" s="16">
        <v>469135.64421489817</v>
      </c>
    </row>
    <row r="14" spans="1:10" x14ac:dyDescent="0.45">
      <c r="A14" s="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/>
    </row>
    <row r="15" spans="1:10" x14ac:dyDescent="0.45">
      <c r="A15" s="9" t="s">
        <v>11</v>
      </c>
      <c r="B15" s="16">
        <v>140683.08334792539</v>
      </c>
      <c r="C15" s="16">
        <v>55858.827626071186</v>
      </c>
      <c r="D15" s="16">
        <v>31669.18499799131</v>
      </c>
      <c r="E15" s="16">
        <v>19853.82019724527</v>
      </c>
      <c r="F15" s="16">
        <v>14761.149293678976</v>
      </c>
      <c r="G15" s="16">
        <v>11804.434701062029</v>
      </c>
    </row>
    <row r="16" spans="1:10" x14ac:dyDescent="0.45">
      <c r="A16" s="9" t="s">
        <v>12</v>
      </c>
      <c r="B16" s="16">
        <v>2240142.4613522291</v>
      </c>
      <c r="C16" s="16">
        <v>2282769.9234232628</v>
      </c>
      <c r="D16" s="16">
        <v>2527793.2253691731</v>
      </c>
      <c r="E16" s="16">
        <v>2970250.9587422134</v>
      </c>
      <c r="F16" s="16">
        <v>3592985.3000253756</v>
      </c>
      <c r="G16" s="16">
        <v>4222387.5421446124</v>
      </c>
    </row>
    <row r="17" spans="1:7" x14ac:dyDescent="0.45">
      <c r="A17" s="9" t="s">
        <v>13</v>
      </c>
      <c r="B17" s="16">
        <v>6608293.7035410879</v>
      </c>
      <c r="C17" s="16">
        <v>6053521.1226788536</v>
      </c>
      <c r="D17" s="16">
        <v>6580710.4926683186</v>
      </c>
      <c r="E17" s="16">
        <v>7492828.5927355327</v>
      </c>
      <c r="F17" s="16">
        <v>8988827.2055919282</v>
      </c>
      <c r="G17" s="16">
        <v>10638413.453456562</v>
      </c>
    </row>
    <row r="18" spans="1:7" x14ac:dyDescent="0.45">
      <c r="A18" s="9" t="s">
        <v>14</v>
      </c>
      <c r="B18" s="16">
        <v>4372750.4050605269</v>
      </c>
      <c r="C18" s="16">
        <v>3940591.2541855555</v>
      </c>
      <c r="D18" s="16">
        <v>6154258.8588146213</v>
      </c>
      <c r="E18" s="16">
        <v>7329359.4939556373</v>
      </c>
      <c r="F18" s="16">
        <v>8503356.0199640878</v>
      </c>
      <c r="G18" s="16">
        <v>8148223.5783628896</v>
      </c>
    </row>
    <row r="19" spans="1:7" x14ac:dyDescent="0.45">
      <c r="A19" s="9" t="s">
        <v>15</v>
      </c>
      <c r="B19" s="16">
        <v>570616.77844047314</v>
      </c>
      <c r="C19" s="16">
        <v>592798.86160950642</v>
      </c>
      <c r="D19" s="16">
        <v>829248.51691838331</v>
      </c>
      <c r="E19" s="16">
        <v>1061543.7461763127</v>
      </c>
      <c r="F19" s="16">
        <v>1173177.0586797295</v>
      </c>
      <c r="G19" s="16">
        <v>1344300.9138020845</v>
      </c>
    </row>
    <row r="20" spans="1:7" x14ac:dyDescent="0.45">
      <c r="A20" s="9" t="s">
        <v>16</v>
      </c>
      <c r="B20" s="16">
        <v>312806.9569272165</v>
      </c>
      <c r="C20" s="16">
        <v>270003.40149497119</v>
      </c>
      <c r="D20" s="16">
        <v>405180.06061378523</v>
      </c>
      <c r="E20" s="16">
        <v>417153.23884721118</v>
      </c>
      <c r="F20" s="16">
        <v>462910.01873081067</v>
      </c>
      <c r="G20" s="16">
        <v>527799.25926439476</v>
      </c>
    </row>
    <row r="21" spans="1:7" x14ac:dyDescent="0.45">
      <c r="A21" s="9" t="s">
        <v>17</v>
      </c>
      <c r="B21" s="16">
        <v>729119.1185732492</v>
      </c>
      <c r="C21" s="16">
        <v>851274.6970920671</v>
      </c>
      <c r="D21" s="16">
        <v>969034.81093303114</v>
      </c>
      <c r="E21" s="16">
        <v>1213079.2397225809</v>
      </c>
      <c r="F21" s="16">
        <v>1492798.94091425</v>
      </c>
      <c r="G21" s="16">
        <v>1812930.1894048057</v>
      </c>
    </row>
    <row r="22" spans="1:7" x14ac:dyDescent="0.45">
      <c r="A22" s="9" t="s">
        <v>18</v>
      </c>
      <c r="B22" s="16">
        <v>1090130.7539810156</v>
      </c>
      <c r="C22" s="16">
        <v>1060936.9709331328</v>
      </c>
      <c r="D22" s="16">
        <v>1226589.8648721313</v>
      </c>
      <c r="E22" s="16">
        <v>1398177.1812467701</v>
      </c>
      <c r="F22" s="16">
        <v>1543590.7610140175</v>
      </c>
      <c r="G22" s="16">
        <v>1772171.561747927</v>
      </c>
    </row>
    <row r="23" spans="1:7" x14ac:dyDescent="0.45">
      <c r="A23" s="9" t="s">
        <v>19</v>
      </c>
      <c r="B23" s="16">
        <v>669945.50138146558</v>
      </c>
      <c r="C23" s="16">
        <v>644346.46585741499</v>
      </c>
      <c r="D23" s="16">
        <v>716105.51971316466</v>
      </c>
      <c r="E23" s="16">
        <v>857873.01816385449</v>
      </c>
      <c r="F23" s="16">
        <v>769186.52138623525</v>
      </c>
      <c r="G23" s="16">
        <v>892545.42349230393</v>
      </c>
    </row>
    <row r="24" spans="1:7" x14ac:dyDescent="0.45">
      <c r="A24" s="9" t="s">
        <v>20</v>
      </c>
      <c r="B24" s="16">
        <v>21003.432209272956</v>
      </c>
      <c r="C24" s="16">
        <v>20389.534967618652</v>
      </c>
      <c r="D24" s="16">
        <v>42971.225850457784</v>
      </c>
      <c r="E24" s="16">
        <v>56907.808990805337</v>
      </c>
      <c r="F24" s="16">
        <v>61861.229165995683</v>
      </c>
      <c r="G24" s="16">
        <v>66965.693017949001</v>
      </c>
    </row>
    <row r="25" spans="1:7" x14ac:dyDescent="0.45">
      <c r="A25" s="9" t="s">
        <v>21</v>
      </c>
      <c r="B25" s="16">
        <v>533391.03848623089</v>
      </c>
      <c r="C25" s="16">
        <v>510762.81734200916</v>
      </c>
      <c r="D25" s="16">
        <v>699295.97085119819</v>
      </c>
      <c r="E25" s="16">
        <v>731562.47488452471</v>
      </c>
      <c r="F25" s="16">
        <v>816665.85674882773</v>
      </c>
      <c r="G25" s="16">
        <v>924240.42461849039</v>
      </c>
    </row>
    <row r="26" spans="1:7" x14ac:dyDescent="0.45">
      <c r="A26" s="9" t="s">
        <v>22</v>
      </c>
      <c r="B26" s="16">
        <v>225490.03211794581</v>
      </c>
      <c r="C26" s="16">
        <v>139620.15557280942</v>
      </c>
      <c r="D26" s="16">
        <v>251341.07111032741</v>
      </c>
      <c r="E26" s="16">
        <v>286991.48559809185</v>
      </c>
      <c r="F26" s="16">
        <v>327635.4980851257</v>
      </c>
      <c r="G26" s="16">
        <v>368404.2303707127</v>
      </c>
    </row>
    <row r="27" spans="1:7" x14ac:dyDescent="0.45">
      <c r="A27" s="9" t="s">
        <v>23</v>
      </c>
      <c r="B27" s="16">
        <v>1149972.5460399343</v>
      </c>
      <c r="C27" s="16">
        <v>848611.63268729043</v>
      </c>
      <c r="D27" s="16">
        <v>1018465.823707117</v>
      </c>
      <c r="E27" s="16">
        <v>1219868.9101732068</v>
      </c>
      <c r="F27" s="16">
        <v>1371969.691027212</v>
      </c>
      <c r="G27" s="16">
        <v>1546122.4340622916</v>
      </c>
    </row>
    <row r="28" spans="1:7" x14ac:dyDescent="0.45">
      <c r="A28" s="9" t="s">
        <v>24</v>
      </c>
      <c r="B28" s="16">
        <v>990550.39253752807</v>
      </c>
      <c r="C28" s="16">
        <v>1112915.380413577</v>
      </c>
      <c r="D28" s="16">
        <v>1940645.9126378584</v>
      </c>
      <c r="E28" s="16">
        <v>1965231.6538232791</v>
      </c>
      <c r="F28" s="16">
        <v>2674422.8536671409</v>
      </c>
      <c r="G28" s="16">
        <v>3033069.7268185951</v>
      </c>
    </row>
    <row r="29" spans="1:7" x14ac:dyDescent="0.45">
      <c r="A29" s="9" t="s">
        <v>25</v>
      </c>
      <c r="B29" s="16">
        <v>447179.11015067814</v>
      </c>
      <c r="C29" s="16">
        <v>454640.78548613301</v>
      </c>
      <c r="D29" s="16">
        <v>526507.40641864855</v>
      </c>
      <c r="E29" s="16">
        <v>544726.003958944</v>
      </c>
      <c r="F29" s="16">
        <v>599412.77539917384</v>
      </c>
      <c r="G29" s="16">
        <v>778585.12019012833</v>
      </c>
    </row>
    <row r="30" spans="1:7" x14ac:dyDescent="0.45">
      <c r="A30" s="9" t="s">
        <v>26</v>
      </c>
      <c r="B30" s="16">
        <v>10572759.511634842</v>
      </c>
      <c r="C30" s="16">
        <v>9728146.6657012068</v>
      </c>
      <c r="D30" s="16">
        <v>10285398.419036815</v>
      </c>
      <c r="E30" s="16">
        <v>12357805.076921646</v>
      </c>
      <c r="F30" s="16">
        <v>13779282.085562544</v>
      </c>
      <c r="G30" s="16">
        <v>16292348.590260617</v>
      </c>
    </row>
    <row r="31" spans="1:7" x14ac:dyDescent="0.45">
      <c r="A31" s="9" t="s">
        <v>27</v>
      </c>
      <c r="B31" s="16">
        <v>35594197.174839661</v>
      </c>
      <c r="C31" s="16">
        <v>36256087.647822239</v>
      </c>
      <c r="D31" s="16">
        <v>39913378.777294464</v>
      </c>
      <c r="E31" s="16">
        <v>46423823.218887672</v>
      </c>
      <c r="F31" s="16">
        <v>55265778.256459452</v>
      </c>
      <c r="G31" s="16">
        <v>67978480.073817581</v>
      </c>
    </row>
    <row r="32" spans="1:7" x14ac:dyDescent="0.45">
      <c r="A32" s="9" t="s">
        <v>28</v>
      </c>
      <c r="B32" s="16">
        <v>2036922.815138414</v>
      </c>
      <c r="C32" s="16">
        <v>1910400.4477148356</v>
      </c>
      <c r="D32" s="16">
        <v>1632103.6667462373</v>
      </c>
      <c r="E32" s="16">
        <v>1986152.4907376633</v>
      </c>
      <c r="F32" s="16">
        <v>2240006.751519422</v>
      </c>
      <c r="G32" s="16">
        <v>2606177.8868443114</v>
      </c>
    </row>
    <row r="33" spans="1:7" x14ac:dyDescent="0.45">
      <c r="A33" s="9" t="s">
        <v>29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/>
    </row>
    <row r="34" spans="1:7" x14ac:dyDescent="0.45">
      <c r="A34" s="9" t="s">
        <v>30</v>
      </c>
      <c r="B34" s="16">
        <v>3169876.3809718266</v>
      </c>
      <c r="C34" s="16">
        <v>1827112.9711407982</v>
      </c>
      <c r="D34" s="16">
        <v>1827820.392914773</v>
      </c>
      <c r="E34" s="16">
        <v>1936808.1756083863</v>
      </c>
      <c r="F34" s="16">
        <v>2183502.8387987837</v>
      </c>
      <c r="G34" s="16">
        <v>2947233.3791126953</v>
      </c>
    </row>
    <row r="35" spans="1:7" x14ac:dyDescent="0.45">
      <c r="A35" s="9" t="s">
        <v>31</v>
      </c>
      <c r="B35" s="16">
        <v>357.17351174853451</v>
      </c>
      <c r="C35" s="16">
        <v>356.44373379758883</v>
      </c>
      <c r="D35" s="16">
        <v>365.90838301981199</v>
      </c>
      <c r="E35" s="16">
        <v>428.41853224256431</v>
      </c>
      <c r="F35" s="16">
        <v>500.36533031982799</v>
      </c>
      <c r="G35" s="16">
        <v>970.6075582807706</v>
      </c>
    </row>
    <row r="36" spans="1:7" x14ac:dyDescent="0.45">
      <c r="A36" s="9" t="s">
        <v>32</v>
      </c>
      <c r="B36" s="16">
        <v>148493.55144268152</v>
      </c>
      <c r="C36" s="16">
        <v>122260.97075778455</v>
      </c>
      <c r="D36" s="16">
        <v>131396.77529594416</v>
      </c>
      <c r="E36" s="16">
        <v>153456.89910661682</v>
      </c>
      <c r="F36" s="16">
        <v>168302.38170058595</v>
      </c>
      <c r="G36" s="16">
        <v>227868.56874577794</v>
      </c>
    </row>
    <row r="37" spans="1:7" x14ac:dyDescent="0.45">
      <c r="A37" s="9" t="s">
        <v>33</v>
      </c>
      <c r="B37" s="16">
        <v>222466.41201675858</v>
      </c>
      <c r="C37" s="16">
        <v>101142.96703655631</v>
      </c>
      <c r="D37" s="16">
        <v>145542.83714545879</v>
      </c>
      <c r="E37" s="16">
        <v>178470.48217703245</v>
      </c>
      <c r="F37" s="16">
        <v>215606.44787776828</v>
      </c>
      <c r="G37" s="16">
        <v>258990.13354195224</v>
      </c>
    </row>
    <row r="38" spans="1:7" x14ac:dyDescent="0.45">
      <c r="A38" s="9" t="s">
        <v>34</v>
      </c>
      <c r="B38" s="16">
        <v>320666.7216513647</v>
      </c>
      <c r="C38" s="16">
        <v>59829.299442495321</v>
      </c>
      <c r="D38" s="16">
        <v>58624.315497008785</v>
      </c>
      <c r="E38" s="16">
        <v>69541.122184606997</v>
      </c>
      <c r="F38" s="16">
        <v>83330.57119037339</v>
      </c>
      <c r="G38" s="16">
        <v>99713.669645187401</v>
      </c>
    </row>
    <row r="39" spans="1:7" x14ac:dyDescent="0.45">
      <c r="A39" s="9" t="s">
        <v>35</v>
      </c>
      <c r="B39" s="16">
        <v>44270.416062999459</v>
      </c>
      <c r="C39" s="16">
        <v>58314.401188717711</v>
      </c>
      <c r="D39" s="16">
        <v>106273.12543422624</v>
      </c>
      <c r="E39" s="16">
        <v>155456.78051362938</v>
      </c>
      <c r="F39" s="16">
        <v>208518.62621532159</v>
      </c>
      <c r="G39" s="16">
        <v>246282.55915459641</v>
      </c>
    </row>
    <row r="40" spans="1:7" x14ac:dyDescent="0.45">
      <c r="A40" s="9" t="s">
        <v>36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/>
    </row>
    <row r="41" spans="1:7" x14ac:dyDescent="0.45">
      <c r="A41" s="9" t="s">
        <v>37</v>
      </c>
      <c r="B41" s="16">
        <v>13852943.368888317</v>
      </c>
      <c r="C41" s="16">
        <v>16853443.460010167</v>
      </c>
      <c r="D41" s="16">
        <v>18722339.820949852</v>
      </c>
      <c r="E41" s="16">
        <v>20829116.443407558</v>
      </c>
      <c r="F41" s="16">
        <v>23027076.323992368</v>
      </c>
      <c r="G41" s="16">
        <v>25470009.336478371</v>
      </c>
    </row>
    <row r="42" spans="1:7" x14ac:dyDescent="0.45">
      <c r="A42" s="9" t="s">
        <v>38</v>
      </c>
      <c r="B42" s="16">
        <v>47313.330773095367</v>
      </c>
      <c r="C42" s="16">
        <v>41279.720163524638</v>
      </c>
      <c r="D42" s="16">
        <v>41046.262606838478</v>
      </c>
      <c r="E42" s="16">
        <v>40672.347570690355</v>
      </c>
      <c r="F42" s="16">
        <v>51065.681047702441</v>
      </c>
      <c r="G42" s="16">
        <v>53794.43840980134</v>
      </c>
    </row>
    <row r="43" spans="1:7" x14ac:dyDescent="0.45">
      <c r="A43" s="9" t="s">
        <v>39</v>
      </c>
      <c r="B43" s="16">
        <v>1324243.1355131194</v>
      </c>
      <c r="C43" s="16">
        <v>1295423.7655385216</v>
      </c>
      <c r="D43" s="16">
        <v>1681028.536004609</v>
      </c>
      <c r="E43" s="16">
        <v>1828932.9688926837</v>
      </c>
      <c r="F43" s="16">
        <v>2224361.785017496</v>
      </c>
      <c r="G43" s="16">
        <v>2700162.7171180267</v>
      </c>
    </row>
    <row r="44" spans="1:7" x14ac:dyDescent="0.45">
      <c r="A44" s="9" t="s">
        <v>40</v>
      </c>
      <c r="B44" s="16">
        <v>2221653.7867615889</v>
      </c>
      <c r="C44" s="16">
        <v>2634046.5747047476</v>
      </c>
      <c r="D44" s="16">
        <v>2696202.8454967169</v>
      </c>
      <c r="E44" s="16">
        <v>2867173.072907194</v>
      </c>
      <c r="F44" s="16">
        <v>3443492.9107096847</v>
      </c>
      <c r="G44" s="16">
        <v>4167387.574066468</v>
      </c>
    </row>
    <row r="45" spans="1:7" x14ac:dyDescent="0.45">
      <c r="A45" s="9" t="s">
        <v>41</v>
      </c>
      <c r="B45" s="16">
        <v>1172104.7321748994</v>
      </c>
      <c r="C45" s="16">
        <v>865734.09866426175</v>
      </c>
      <c r="D45" s="16">
        <v>927115.8095335234</v>
      </c>
      <c r="E45" s="16">
        <v>1188715.1806039806</v>
      </c>
      <c r="F45" s="16">
        <v>1463438.1310740546</v>
      </c>
      <c r="G45" s="16">
        <v>1788264.1098135174</v>
      </c>
    </row>
    <row r="46" spans="1:7" x14ac:dyDescent="0.45">
      <c r="A46" s="9" t="s">
        <v>42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/>
    </row>
    <row r="47" spans="1:7" x14ac:dyDescent="0.45">
      <c r="A47" s="9" t="s">
        <v>43</v>
      </c>
      <c r="B47" s="16">
        <v>4445513.6021139994</v>
      </c>
      <c r="C47" s="16">
        <v>5197387.3761115614</v>
      </c>
      <c r="D47" s="16">
        <v>5671707.9290109482</v>
      </c>
      <c r="E47" s="16">
        <v>6115979.1382866269</v>
      </c>
      <c r="F47" s="16">
        <v>7393943.4933672799</v>
      </c>
      <c r="G47" s="16">
        <v>9091608.3100681398</v>
      </c>
    </row>
    <row r="48" spans="1:7" x14ac:dyDescent="0.45">
      <c r="A48" s="9" t="s">
        <v>44</v>
      </c>
      <c r="B48" s="16">
        <v>608670.74282955541</v>
      </c>
      <c r="C48" s="16">
        <v>459949.7399514236</v>
      </c>
      <c r="D48" s="16">
        <v>701263.85187713429</v>
      </c>
      <c r="E48" s="16">
        <v>792930.40457841509</v>
      </c>
      <c r="F48" s="16">
        <v>966401.34522914258</v>
      </c>
      <c r="G48" s="16">
        <v>1176554.2730162418</v>
      </c>
    </row>
    <row r="49" spans="1:10" x14ac:dyDescent="0.45">
      <c r="A49" s="9" t="s">
        <v>45</v>
      </c>
      <c r="B49" s="16">
        <v>22019399.020197645</v>
      </c>
      <c r="C49" s="16">
        <v>21732890.660628438</v>
      </c>
      <c r="D49" s="16">
        <v>25980063.239827007</v>
      </c>
      <c r="E49" s="16">
        <v>27845987.176517114</v>
      </c>
      <c r="F49" s="16">
        <v>30718243.320534997</v>
      </c>
      <c r="G49" s="16">
        <v>41266714.168680944</v>
      </c>
    </row>
    <row r="50" spans="1:10" x14ac:dyDescent="0.45">
      <c r="A50" s="9" t="s">
        <v>46</v>
      </c>
      <c r="B50" s="16">
        <v>5685657.2652918464</v>
      </c>
      <c r="C50" s="16">
        <v>5723362.5239992309</v>
      </c>
      <c r="D50" s="16">
        <v>6633791.3848402165</v>
      </c>
      <c r="E50" s="16">
        <v>7402817.5273611257</v>
      </c>
      <c r="F50" s="16">
        <v>8913482.3096237555</v>
      </c>
      <c r="G50" s="16">
        <v>10892706.228233073</v>
      </c>
    </row>
    <row r="51" spans="1:10" x14ac:dyDescent="0.45">
      <c r="A51" s="9" t="s">
        <v>47</v>
      </c>
      <c r="B51" s="16">
        <v>1005002.2579771765</v>
      </c>
      <c r="C51" s="16">
        <v>933221.1944110475</v>
      </c>
      <c r="D51" s="16">
        <v>1705607.0776029532</v>
      </c>
      <c r="E51" s="16">
        <v>2472479.6993693803</v>
      </c>
      <c r="F51" s="16">
        <v>3223389.8484034282</v>
      </c>
      <c r="G51" s="16">
        <v>4796523.5397988223</v>
      </c>
    </row>
    <row r="52" spans="1:10" x14ac:dyDescent="0.45">
      <c r="A52" s="9" t="s">
        <v>48</v>
      </c>
      <c r="B52" s="16">
        <v>4991859.8716644198</v>
      </c>
      <c r="C52" s="16">
        <v>4998966.0494357375</v>
      </c>
      <c r="D52" s="16">
        <v>5693378.951221359</v>
      </c>
      <c r="E52" s="16">
        <v>6830707.6515759313</v>
      </c>
      <c r="F52" s="16">
        <v>8210594.8319542911</v>
      </c>
      <c r="G52" s="16">
        <v>9983171.2096824143</v>
      </c>
    </row>
    <row r="53" spans="1:10" x14ac:dyDescent="0.45">
      <c r="A53" s="9" t="s">
        <v>49</v>
      </c>
      <c r="B53" s="16">
        <v>3046846.6109022247</v>
      </c>
      <c r="C53" s="16">
        <v>2954169.2832808681</v>
      </c>
      <c r="D53" s="16">
        <v>2563416.8375561666</v>
      </c>
      <c r="E53" s="16">
        <v>2609987.2848714916</v>
      </c>
      <c r="F53" s="16">
        <v>2916314.2575843781</v>
      </c>
      <c r="G53" s="16">
        <v>3265881.9406679212</v>
      </c>
    </row>
    <row r="54" spans="1:10" x14ac:dyDescent="0.45">
      <c r="A54" s="9" t="s">
        <v>50</v>
      </c>
      <c r="B54" s="16">
        <v>2986235.1353396433</v>
      </c>
      <c r="C54" s="16">
        <v>3572244.2118326882</v>
      </c>
      <c r="D54" s="16">
        <v>3764055.7634951822</v>
      </c>
      <c r="E54" s="16">
        <v>4059480.2347370964</v>
      </c>
      <c r="F54" s="16">
        <v>4702797.2179981992</v>
      </c>
      <c r="G54" s="16">
        <v>5649796.117585388</v>
      </c>
    </row>
    <row r="55" spans="1:10" x14ac:dyDescent="0.45">
      <c r="A55" s="9" t="s">
        <v>51</v>
      </c>
      <c r="B55" s="16">
        <v>3542147.7252954212</v>
      </c>
      <c r="C55" s="16">
        <v>4320060.2734093927</v>
      </c>
      <c r="D55" s="16">
        <v>4243531.4073953265</v>
      </c>
      <c r="E55" s="16">
        <v>4549616.92044333</v>
      </c>
      <c r="F55" s="16">
        <v>4775030.3006078964</v>
      </c>
      <c r="G55" s="16">
        <v>5647779.4495499469</v>
      </c>
    </row>
    <row r="56" spans="1:10" x14ac:dyDescent="0.45"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/>
    </row>
    <row r="57" spans="1:10" s="1" customFormat="1" x14ac:dyDescent="0.45">
      <c r="A57" s="17" t="s">
        <v>52</v>
      </c>
      <c r="B57" s="18">
        <v>204343987.47235954</v>
      </c>
      <c r="C57" s="18">
        <v>211708123.83199918</v>
      </c>
      <c r="D57" s="18">
        <v>240754806.30424193</v>
      </c>
      <c r="E57" s="18">
        <v>271204728.31250751</v>
      </c>
      <c r="F57" s="18">
        <v>309510611.29110301</v>
      </c>
      <c r="G57" s="18">
        <v>364619398.99950778</v>
      </c>
      <c r="H57" s="45"/>
    </row>
    <row r="58" spans="1:10" x14ac:dyDescent="0.45">
      <c r="A58" s="20" t="s">
        <v>68</v>
      </c>
      <c r="B58" s="21">
        <v>746418.10615673696</v>
      </c>
      <c r="C58" s="21">
        <v>1928248.3074445301</v>
      </c>
      <c r="D58" s="21">
        <v>2547839.5227158698</v>
      </c>
      <c r="E58" s="21">
        <v>3028983.0064927498</v>
      </c>
      <c r="F58" s="18">
        <v>4512976.60712652</v>
      </c>
      <c r="G58" s="18">
        <v>8203426.6791961482</v>
      </c>
    </row>
    <row r="59" spans="1:10" x14ac:dyDescent="0.45">
      <c r="A59" s="20" t="s">
        <v>69</v>
      </c>
      <c r="B59" s="18">
        <v>205090405.57851627</v>
      </c>
      <c r="C59" s="18">
        <v>213636372.13944373</v>
      </c>
      <c r="D59" s="18">
        <v>243302645.82695779</v>
      </c>
      <c r="E59" s="18">
        <v>274233711.31900024</v>
      </c>
      <c r="F59" s="18">
        <v>314023587.89822954</v>
      </c>
      <c r="G59" s="18">
        <v>372822825.6787039</v>
      </c>
      <c r="H59" s="50"/>
      <c r="I59" s="50"/>
      <c r="J59" s="50"/>
    </row>
    <row r="60" spans="1:10" x14ac:dyDescent="0.45">
      <c r="B60" s="18"/>
      <c r="C60" s="18"/>
      <c r="D60" s="18"/>
      <c r="E60" s="18"/>
      <c r="F60" s="18"/>
      <c r="G60" s="18"/>
      <c r="H60" s="50"/>
      <c r="I60" s="50"/>
      <c r="J60" s="50"/>
    </row>
    <row r="61" spans="1:10" x14ac:dyDescent="0.45">
      <c r="B61" s="18"/>
      <c r="C61" s="18"/>
      <c r="D61" s="18"/>
      <c r="E61" s="18"/>
      <c r="F61" s="18"/>
      <c r="G61" s="18"/>
      <c r="H61" s="50"/>
      <c r="I61" s="50"/>
      <c r="J61" s="50"/>
    </row>
    <row r="62" spans="1:10" s="1" customFormat="1" x14ac:dyDescent="0.45">
      <c r="A62" s="22" t="s">
        <v>73</v>
      </c>
      <c r="B62" s="14" t="s">
        <v>53</v>
      </c>
      <c r="C62" s="14">
        <v>2020</v>
      </c>
      <c r="D62" s="14" t="s">
        <v>54</v>
      </c>
      <c r="E62" s="14">
        <v>2022</v>
      </c>
      <c r="F62" s="14">
        <v>2023</v>
      </c>
      <c r="G62" s="14">
        <v>2024</v>
      </c>
      <c r="H62" s="19"/>
    </row>
    <row r="64" spans="1:10" x14ac:dyDescent="0.45">
      <c r="A64" s="9" t="s">
        <v>0</v>
      </c>
      <c r="B64" s="18"/>
      <c r="C64" s="18"/>
      <c r="D64" s="18"/>
      <c r="E64" s="18"/>
      <c r="F64" s="18"/>
      <c r="G64" s="18"/>
      <c r="H64" s="24"/>
      <c r="I64" s="24"/>
    </row>
    <row r="65" spans="1:9" x14ac:dyDescent="0.45">
      <c r="A65" s="9" t="s">
        <v>1</v>
      </c>
      <c r="B65" s="23">
        <v>35925188.668071829</v>
      </c>
      <c r="C65" s="23">
        <v>37246503.007646449</v>
      </c>
      <c r="D65" s="23">
        <v>38794928.26899077</v>
      </c>
      <c r="E65" s="23">
        <v>39600844.503032565</v>
      </c>
      <c r="F65" s="16">
        <v>41170602.534587376</v>
      </c>
      <c r="G65" s="16">
        <v>42369960.887336947</v>
      </c>
    </row>
    <row r="66" spans="1:9" x14ac:dyDescent="0.45">
      <c r="A66" s="9" t="s">
        <v>2</v>
      </c>
      <c r="B66" s="23">
        <v>11761131.865201581</v>
      </c>
      <c r="C66" s="23">
        <v>11844528.749092948</v>
      </c>
      <c r="D66" s="23">
        <v>12244147.948710186</v>
      </c>
      <c r="E66" s="23">
        <v>12579398.271205328</v>
      </c>
      <c r="F66" s="16">
        <v>12211248.606039677</v>
      </c>
      <c r="G66" s="16">
        <v>11949767.475583214</v>
      </c>
    </row>
    <row r="67" spans="1:9" x14ac:dyDescent="0.45">
      <c r="A67" s="9" t="s">
        <v>3</v>
      </c>
      <c r="B67" s="23">
        <v>2695042.5786405671</v>
      </c>
      <c r="C67" s="23">
        <v>2754655.8119137231</v>
      </c>
      <c r="D67" s="23">
        <v>2842244.1484232927</v>
      </c>
      <c r="E67" s="23">
        <v>3015272.1178686107</v>
      </c>
      <c r="F67" s="16">
        <v>2473329.4918766837</v>
      </c>
      <c r="G67" s="16">
        <v>2535860.5340566114</v>
      </c>
    </row>
    <row r="68" spans="1:9" x14ac:dyDescent="0.45">
      <c r="A68" s="9" t="s">
        <v>4</v>
      </c>
      <c r="B68" s="23">
        <v>2398510.3753301455</v>
      </c>
      <c r="C68" s="23">
        <v>2335718.219054224</v>
      </c>
      <c r="D68" s="23">
        <v>2346986.4396277284</v>
      </c>
      <c r="E68" s="23">
        <v>2417678.324248882</v>
      </c>
      <c r="F68" s="16">
        <v>2472044.1470039054</v>
      </c>
      <c r="G68" s="16">
        <v>2456980.2069356353</v>
      </c>
    </row>
    <row r="69" spans="1:9" x14ac:dyDescent="0.45">
      <c r="A69" s="9" t="s">
        <v>5</v>
      </c>
      <c r="B69" s="21"/>
      <c r="C69" s="21"/>
      <c r="D69" s="21"/>
      <c r="E69" s="21"/>
      <c r="F69" s="16"/>
      <c r="G69" s="16"/>
      <c r="H69" s="24"/>
      <c r="I69" s="24"/>
    </row>
    <row r="70" spans="1:9" x14ac:dyDescent="0.45">
      <c r="A70" s="9" t="s">
        <v>6</v>
      </c>
      <c r="B70" s="23">
        <v>11952449.60501083</v>
      </c>
      <c r="C70" s="23">
        <v>8606991.4118792545</v>
      </c>
      <c r="D70" s="23">
        <v>5245899.5862754174</v>
      </c>
      <c r="E70" s="23">
        <v>6545473.0448463392</v>
      </c>
      <c r="F70" s="16">
        <v>6836598.8566244571</v>
      </c>
      <c r="G70" s="16">
        <v>7215064.5129613243</v>
      </c>
    </row>
    <row r="71" spans="1:9" x14ac:dyDescent="0.45">
      <c r="A71" s="9" t="s">
        <v>7</v>
      </c>
      <c r="B71" s="23">
        <v>22818.997244046972</v>
      </c>
      <c r="C71" s="23">
        <v>12410.576554712643</v>
      </c>
      <c r="D71" s="23">
        <v>12160.548672054991</v>
      </c>
      <c r="E71" s="23">
        <v>11654.383760799736</v>
      </c>
      <c r="F71" s="16">
        <v>11362.18571737339</v>
      </c>
      <c r="G71" s="16">
        <v>10159.3213488082</v>
      </c>
    </row>
    <row r="72" spans="1:9" x14ac:dyDescent="0.45">
      <c r="A72" s="9" t="s">
        <v>8</v>
      </c>
      <c r="B72" s="23">
        <v>39131.433106721866</v>
      </c>
      <c r="C72" s="23">
        <v>8570.296247986651</v>
      </c>
      <c r="D72" s="23">
        <v>45449.192903915253</v>
      </c>
      <c r="E72" s="23">
        <v>61503.656841822929</v>
      </c>
      <c r="F72" s="16">
        <v>89675.328139795049</v>
      </c>
      <c r="G72" s="16">
        <v>157141.14027308259</v>
      </c>
    </row>
    <row r="73" spans="1:9" x14ac:dyDescent="0.45">
      <c r="A73" s="9" t="s">
        <v>9</v>
      </c>
      <c r="B73" s="23">
        <v>388037.89261380001</v>
      </c>
      <c r="C73" s="23">
        <v>277717.46789157344</v>
      </c>
      <c r="D73" s="23">
        <v>275499.72939040483</v>
      </c>
      <c r="E73" s="23">
        <v>283327.31935663655</v>
      </c>
      <c r="F73" s="16">
        <v>256931.63092932888</v>
      </c>
      <c r="G73" s="16">
        <v>188153.75616301774</v>
      </c>
    </row>
    <row r="74" spans="1:9" x14ac:dyDescent="0.45">
      <c r="A74" s="9" t="s">
        <v>10</v>
      </c>
      <c r="B74" s="23"/>
      <c r="C74" s="23"/>
      <c r="D74" s="23"/>
      <c r="E74" s="23"/>
      <c r="F74" s="16"/>
      <c r="G74" s="16"/>
    </row>
    <row r="75" spans="1:9" x14ac:dyDescent="0.45">
      <c r="A75" s="9" t="s">
        <v>11</v>
      </c>
      <c r="B75" s="23">
        <v>140683.08334792539</v>
      </c>
      <c r="C75" s="23">
        <v>48113.103973935205</v>
      </c>
      <c r="D75" s="23">
        <v>26553.154291494451</v>
      </c>
      <c r="E75" s="23">
        <v>15939.542255337681</v>
      </c>
      <c r="F75" s="16">
        <v>11592.543278744288</v>
      </c>
      <c r="G75" s="16">
        <v>9892.2607064962958</v>
      </c>
    </row>
    <row r="76" spans="1:9" x14ac:dyDescent="0.45">
      <c r="A76" s="9" t="s">
        <v>12</v>
      </c>
      <c r="B76" s="23">
        <v>2240142.4613522291</v>
      </c>
      <c r="C76" s="23">
        <v>2033582.0691598651</v>
      </c>
      <c r="D76" s="23">
        <v>2098397.2449372276</v>
      </c>
      <c r="E76" s="23">
        <v>2259661.5899545699</v>
      </c>
      <c r="F76" s="16">
        <v>2303687.9634724208</v>
      </c>
      <c r="G76" s="16">
        <v>2358349.5024954937</v>
      </c>
    </row>
    <row r="77" spans="1:9" x14ac:dyDescent="0.45">
      <c r="A77" s="9" t="s">
        <v>13</v>
      </c>
      <c r="B77" s="23">
        <v>6608293.7035410879</v>
      </c>
      <c r="C77" s="23">
        <v>5207166.889525271</v>
      </c>
      <c r="D77" s="23">
        <v>5245138.4970509401</v>
      </c>
      <c r="E77" s="23">
        <v>5657239.9859503349</v>
      </c>
      <c r="F77" s="16">
        <v>6024201.7389627192</v>
      </c>
      <c r="G77" s="16">
        <v>6174885.3892937554</v>
      </c>
    </row>
    <row r="78" spans="1:9" x14ac:dyDescent="0.45">
      <c r="A78" s="9" t="s">
        <v>14</v>
      </c>
      <c r="B78" s="23">
        <v>4372750.4050605269</v>
      </c>
      <c r="C78" s="23">
        <v>3558864.8537966162</v>
      </c>
      <c r="D78" s="23">
        <v>3944050.42136057</v>
      </c>
      <c r="E78" s="23">
        <v>4242642.2475426421</v>
      </c>
      <c r="F78" s="16">
        <v>4547687.8504846366</v>
      </c>
      <c r="G78" s="16">
        <v>4475687.5271046981</v>
      </c>
    </row>
    <row r="79" spans="1:9" x14ac:dyDescent="0.45">
      <c r="A79" s="9" t="s">
        <v>15</v>
      </c>
      <c r="B79" s="23">
        <v>570616.77844047314</v>
      </c>
      <c r="C79" s="23">
        <v>553912.05455567583</v>
      </c>
      <c r="D79" s="23">
        <v>689719.63092729507</v>
      </c>
      <c r="E79" s="23">
        <v>773643.98490646959</v>
      </c>
      <c r="F79" s="16">
        <v>630812.67913795763</v>
      </c>
      <c r="G79" s="16">
        <v>643046.34260356822</v>
      </c>
    </row>
    <row r="80" spans="1:9" x14ac:dyDescent="0.45">
      <c r="A80" s="9" t="s">
        <v>16</v>
      </c>
      <c r="B80" s="23">
        <v>312806.9569272165</v>
      </c>
      <c r="C80" s="23">
        <v>252885.84033457123</v>
      </c>
      <c r="D80" s="23">
        <v>337711.14044068463</v>
      </c>
      <c r="E80" s="23">
        <v>304575.97705562471</v>
      </c>
      <c r="F80" s="16">
        <v>279320.53646475537</v>
      </c>
      <c r="G80" s="16">
        <v>279554.03457562556</v>
      </c>
    </row>
    <row r="81" spans="1:7" x14ac:dyDescent="0.45">
      <c r="A81" s="9" t="s">
        <v>17</v>
      </c>
      <c r="B81" s="23">
        <v>729119.1185732492</v>
      </c>
      <c r="C81" s="23">
        <v>731062.26697080792</v>
      </c>
      <c r="D81" s="23">
        <v>747406.78404987033</v>
      </c>
      <c r="E81" s="23">
        <v>827269.05439618859</v>
      </c>
      <c r="F81" s="16">
        <v>908018.56184114271</v>
      </c>
      <c r="G81" s="16">
        <v>941903.83195313544</v>
      </c>
    </row>
    <row r="82" spans="1:7" x14ac:dyDescent="0.45">
      <c r="A82" s="9" t="s">
        <v>18</v>
      </c>
      <c r="B82" s="23">
        <v>1090130.7539810156</v>
      </c>
      <c r="C82" s="23">
        <v>790583.83990309853</v>
      </c>
      <c r="D82" s="23">
        <v>832116.3835777042</v>
      </c>
      <c r="E82" s="23">
        <v>850525.93425777415</v>
      </c>
      <c r="F82" s="16">
        <v>842778.7428890802</v>
      </c>
      <c r="G82" s="16">
        <v>859325.53202118946</v>
      </c>
    </row>
    <row r="83" spans="1:7" x14ac:dyDescent="0.45">
      <c r="A83" s="9" t="s">
        <v>19</v>
      </c>
      <c r="B83" s="23">
        <v>669945.50138146558</v>
      </c>
      <c r="C83" s="23">
        <v>598105.33600277524</v>
      </c>
      <c r="D83" s="23">
        <v>612366.51380264282</v>
      </c>
      <c r="E83" s="23">
        <v>621988.11085061647</v>
      </c>
      <c r="F83" s="16">
        <v>527962.72982652381</v>
      </c>
      <c r="G83" s="16">
        <v>528875.61476366816</v>
      </c>
    </row>
    <row r="84" spans="1:7" x14ac:dyDescent="0.45">
      <c r="A84" s="9" t="s">
        <v>20</v>
      </c>
      <c r="B84" s="23">
        <v>21003.432209272956</v>
      </c>
      <c r="C84" s="23">
        <v>11616.424641831814</v>
      </c>
      <c r="D84" s="23">
        <v>13784.637168290534</v>
      </c>
      <c r="E84" s="23">
        <v>17259.62334013842</v>
      </c>
      <c r="F84" s="16">
        <v>18494.657945117771</v>
      </c>
      <c r="G84" s="16">
        <v>18729.280867643462</v>
      </c>
    </row>
    <row r="85" spans="1:7" x14ac:dyDescent="0.45">
      <c r="A85" s="9" t="s">
        <v>21</v>
      </c>
      <c r="B85" s="23">
        <v>533391.03848623089</v>
      </c>
      <c r="C85" s="23">
        <v>415514.75530183804</v>
      </c>
      <c r="D85" s="23">
        <v>513688.45826502348</v>
      </c>
      <c r="E85" s="23">
        <v>477783.22332597693</v>
      </c>
      <c r="F85" s="16">
        <v>441724.69126506988</v>
      </c>
      <c r="G85" s="16">
        <v>444443.65951510874</v>
      </c>
    </row>
    <row r="86" spans="1:7" x14ac:dyDescent="0.45">
      <c r="A86" s="9" t="s">
        <v>22</v>
      </c>
      <c r="B86" s="23">
        <v>225490.03211794578</v>
      </c>
      <c r="C86" s="23">
        <v>75046.611119308232</v>
      </c>
      <c r="D86" s="23">
        <v>126141.04915684018</v>
      </c>
      <c r="E86" s="23">
        <v>132720.3998153274</v>
      </c>
      <c r="F86" s="16">
        <v>139417.66127052173</v>
      </c>
      <c r="G86" s="16">
        <v>142750.20961681346</v>
      </c>
    </row>
    <row r="87" spans="1:7" x14ac:dyDescent="0.45">
      <c r="A87" s="9" t="s">
        <v>23</v>
      </c>
      <c r="B87" s="23">
        <v>1149972.5460399343</v>
      </c>
      <c r="C87" s="23">
        <v>671461.00875961664</v>
      </c>
      <c r="D87" s="23">
        <v>729600.47219603078</v>
      </c>
      <c r="E87" s="23">
        <v>779090.92746917799</v>
      </c>
      <c r="F87" s="16">
        <v>695227.40160851076</v>
      </c>
      <c r="G87" s="16">
        <v>701461.5736384379</v>
      </c>
    </row>
    <row r="88" spans="1:7" x14ac:dyDescent="0.45">
      <c r="A88" s="9" t="s">
        <v>24</v>
      </c>
      <c r="B88" s="23">
        <v>990550.39253752807</v>
      </c>
      <c r="C88" s="23">
        <v>845713.8648045602</v>
      </c>
      <c r="D88" s="23">
        <v>1340186.2650454091</v>
      </c>
      <c r="E88" s="23">
        <v>1214696.578826311</v>
      </c>
      <c r="F88" s="16">
        <v>1481239.200357208</v>
      </c>
      <c r="G88" s="16">
        <v>1489596.108579993</v>
      </c>
    </row>
    <row r="89" spans="1:7" x14ac:dyDescent="0.45">
      <c r="A89" s="9" t="s">
        <v>25</v>
      </c>
      <c r="B89" s="23">
        <v>447179.11015067814</v>
      </c>
      <c r="C89" s="23">
        <v>405072.03367312596</v>
      </c>
      <c r="D89" s="23">
        <v>452145.61485024448</v>
      </c>
      <c r="E89" s="23">
        <v>456104.46659358701</v>
      </c>
      <c r="F89" s="16">
        <v>490536.6774839955</v>
      </c>
      <c r="G89" s="16">
        <v>532745.88724192302</v>
      </c>
    </row>
    <row r="90" spans="1:7" x14ac:dyDescent="0.45">
      <c r="A90" s="9" t="s">
        <v>26</v>
      </c>
      <c r="B90" s="23">
        <v>10572759.511634842</v>
      </c>
      <c r="C90" s="23">
        <v>8186820.9291122388</v>
      </c>
      <c r="D90" s="23">
        <v>6901269.8096711319</v>
      </c>
      <c r="E90" s="23">
        <v>7722663.3768000202</v>
      </c>
      <c r="F90" s="16">
        <v>8053105.6400360391</v>
      </c>
      <c r="G90" s="16">
        <v>8388482.2939743716</v>
      </c>
    </row>
    <row r="91" spans="1:7" x14ac:dyDescent="0.45">
      <c r="A91" s="9" t="s">
        <v>27</v>
      </c>
      <c r="B91" s="23">
        <v>35594197.174839661</v>
      </c>
      <c r="C91" s="23">
        <v>35116207.330953822</v>
      </c>
      <c r="D91" s="23">
        <v>35496087.017908782</v>
      </c>
      <c r="E91" s="23">
        <v>36295124.14119029</v>
      </c>
      <c r="F91" s="16">
        <v>37085592.103322133</v>
      </c>
      <c r="G91" s="16">
        <v>37814785.53072346</v>
      </c>
    </row>
    <row r="92" spans="1:7" x14ac:dyDescent="0.45">
      <c r="A92" s="9" t="s">
        <v>28</v>
      </c>
      <c r="B92" s="23">
        <v>2036922.815138414</v>
      </c>
      <c r="C92" s="23">
        <v>1256503.0167575355</v>
      </c>
      <c r="D92" s="23">
        <v>987654.54143832647</v>
      </c>
      <c r="E92" s="23">
        <v>1072238.9485792036</v>
      </c>
      <c r="F92" s="16">
        <v>1125635.288802474</v>
      </c>
      <c r="G92" s="16">
        <v>1167472.1238237296</v>
      </c>
    </row>
    <row r="93" spans="1:7" x14ac:dyDescent="0.45">
      <c r="A93" s="9" t="s">
        <v>29</v>
      </c>
      <c r="B93" s="23"/>
      <c r="C93" s="23"/>
      <c r="D93" s="23"/>
      <c r="E93" s="23"/>
      <c r="F93" s="16"/>
      <c r="G93" s="16"/>
    </row>
    <row r="94" spans="1:7" x14ac:dyDescent="0.45">
      <c r="A94" s="9" t="s">
        <v>30</v>
      </c>
      <c r="B94" s="23">
        <v>3169876.3809718266</v>
      </c>
      <c r="C94" s="23">
        <v>1551394.5523423129</v>
      </c>
      <c r="D94" s="23">
        <v>1278359.6810040867</v>
      </c>
      <c r="E94" s="23">
        <v>1308960.4515774944</v>
      </c>
      <c r="F94" s="16">
        <v>1066525.0316131746</v>
      </c>
      <c r="G94" s="16">
        <v>1172041.9075690263</v>
      </c>
    </row>
    <row r="95" spans="1:7" x14ac:dyDescent="0.45">
      <c r="A95" s="9" t="s">
        <v>31</v>
      </c>
      <c r="B95" s="23">
        <v>357.17351174853451</v>
      </c>
      <c r="C95" s="23">
        <v>320.18518756696125</v>
      </c>
      <c r="D95" s="23">
        <v>285.17990365388312</v>
      </c>
      <c r="E95" s="23">
        <v>294.8680993184924</v>
      </c>
      <c r="F95" s="16">
        <v>304.99519758435798</v>
      </c>
      <c r="G95" s="16">
        <v>439.61135072425583</v>
      </c>
    </row>
    <row r="96" spans="1:7" x14ac:dyDescent="0.45">
      <c r="A96" s="9" t="s">
        <v>32</v>
      </c>
      <c r="B96" s="23">
        <v>148493.55144268152</v>
      </c>
      <c r="C96" s="23">
        <v>103928.71137063259</v>
      </c>
      <c r="D96" s="23">
        <v>109842.46108193486</v>
      </c>
      <c r="E96" s="23">
        <v>123369.39733672448</v>
      </c>
      <c r="F96" s="16">
        <v>127590.64454750353</v>
      </c>
      <c r="G96" s="16">
        <v>143639.7385901504</v>
      </c>
    </row>
    <row r="97" spans="1:7" x14ac:dyDescent="0.45">
      <c r="A97" s="9" t="s">
        <v>33</v>
      </c>
      <c r="B97" s="23">
        <v>222466.41201675858</v>
      </c>
      <c r="C97" s="23">
        <v>78577.075643638585</v>
      </c>
      <c r="D97" s="23">
        <v>98387.908155007812</v>
      </c>
      <c r="E97" s="23">
        <v>112308.28378508025</v>
      </c>
      <c r="F97" s="16">
        <v>114881.99876732587</v>
      </c>
      <c r="G97" s="16">
        <v>105793.46861230987</v>
      </c>
    </row>
    <row r="98" spans="1:7" x14ac:dyDescent="0.45">
      <c r="A98" s="9" t="s">
        <v>34</v>
      </c>
      <c r="B98" s="23">
        <v>320666.7216513647</v>
      </c>
      <c r="C98" s="23">
        <v>53743.280208352589</v>
      </c>
      <c r="D98" s="23">
        <v>45690.335124971964</v>
      </c>
      <c r="E98" s="23">
        <v>47283.366723536972</v>
      </c>
      <c r="F98" s="16">
        <v>48562.900632132369</v>
      </c>
      <c r="G98" s="16">
        <v>50278.184718606564</v>
      </c>
    </row>
    <row r="99" spans="1:7" x14ac:dyDescent="0.45">
      <c r="A99" s="9" t="s">
        <v>35</v>
      </c>
      <c r="B99" s="23">
        <v>44270.416062999459</v>
      </c>
      <c r="C99" s="23">
        <v>51834.920766854586</v>
      </c>
      <c r="D99" s="23">
        <v>82074.397566300249</v>
      </c>
      <c r="E99" s="23">
        <v>104861.87190858666</v>
      </c>
      <c r="F99" s="16">
        <v>120692.1193973262</v>
      </c>
      <c r="G99" s="16">
        <v>123449.96260591786</v>
      </c>
    </row>
    <row r="100" spans="1:7" x14ac:dyDescent="0.45">
      <c r="A100" s="9" t="s">
        <v>36</v>
      </c>
      <c r="B100" s="23"/>
      <c r="C100" s="23"/>
      <c r="D100" s="23"/>
      <c r="E100" s="23"/>
      <c r="F100" s="16"/>
      <c r="G100" s="16"/>
    </row>
    <row r="101" spans="1:7" x14ac:dyDescent="0.45">
      <c r="A101" s="9" t="s">
        <v>37</v>
      </c>
      <c r="B101" s="23">
        <v>13852943.368888317</v>
      </c>
      <c r="C101" s="23">
        <v>14998062.268665604</v>
      </c>
      <c r="D101" s="23">
        <v>15273541.968544081</v>
      </c>
      <c r="E101" s="23">
        <v>15831941.33607058</v>
      </c>
      <c r="F101" s="16">
        <v>16178756.467486883</v>
      </c>
      <c r="G101" s="16">
        <v>17189242.247962255</v>
      </c>
    </row>
    <row r="102" spans="1:7" x14ac:dyDescent="0.45">
      <c r="A102" s="9" t="s">
        <v>38</v>
      </c>
      <c r="B102" s="23">
        <v>47313.330773095367</v>
      </c>
      <c r="C102" s="23">
        <v>39840.41240069615</v>
      </c>
      <c r="D102" s="23">
        <v>34320.663890717457</v>
      </c>
      <c r="E102" s="23">
        <v>29609.701350471347</v>
      </c>
      <c r="F102" s="16">
        <v>35991.780371058601</v>
      </c>
      <c r="G102" s="16">
        <v>36414.875575549828</v>
      </c>
    </row>
    <row r="103" spans="1:7" x14ac:dyDescent="0.45">
      <c r="A103" s="9" t="s">
        <v>39</v>
      </c>
      <c r="B103" s="23">
        <v>1324243.1355131194</v>
      </c>
      <c r="C103" s="23">
        <v>1258300.6698788039</v>
      </c>
      <c r="D103" s="23">
        <v>1234601.0056730905</v>
      </c>
      <c r="E103" s="23">
        <v>1314423.733137477</v>
      </c>
      <c r="F103" s="16">
        <v>1365405.2912476319</v>
      </c>
      <c r="G103" s="16">
        <v>1407630.6873207523</v>
      </c>
    </row>
    <row r="104" spans="1:7" x14ac:dyDescent="0.45">
      <c r="A104" s="9" t="s">
        <v>40</v>
      </c>
      <c r="B104" s="23">
        <v>2221653.7867615889</v>
      </c>
      <c r="C104" s="23">
        <v>1981227.1496381632</v>
      </c>
      <c r="D104" s="23">
        <v>1980177.4171308705</v>
      </c>
      <c r="E104" s="23">
        <v>2060589.6433282897</v>
      </c>
      <c r="F104" s="16">
        <v>2191652.8596650013</v>
      </c>
      <c r="G104" s="16">
        <v>2240130.684539367</v>
      </c>
    </row>
    <row r="105" spans="1:7" x14ac:dyDescent="0.45">
      <c r="A105" s="9" t="s">
        <v>41</v>
      </c>
      <c r="B105" s="23">
        <v>1172104.7321748994</v>
      </c>
      <c r="C105" s="23">
        <v>836352.97954468476</v>
      </c>
      <c r="D105" s="23">
        <v>619223.1463341926</v>
      </c>
      <c r="E105" s="23">
        <v>575075.09373846347</v>
      </c>
      <c r="F105" s="16">
        <v>621493.24443794426</v>
      </c>
      <c r="G105" s="16">
        <v>676383.85725798644</v>
      </c>
    </row>
    <row r="106" spans="1:7" x14ac:dyDescent="0.45">
      <c r="A106" s="9" t="s">
        <v>42</v>
      </c>
      <c r="B106" s="23"/>
      <c r="C106" s="23"/>
      <c r="D106" s="23"/>
      <c r="E106" s="23"/>
      <c r="F106" s="16"/>
      <c r="G106" s="16"/>
    </row>
    <row r="107" spans="1:7" x14ac:dyDescent="0.45">
      <c r="A107" s="9" t="s">
        <v>43</v>
      </c>
      <c r="B107" s="23">
        <v>4445513.6021139994</v>
      </c>
      <c r="C107" s="23">
        <v>4671975.8747073496</v>
      </c>
      <c r="D107" s="23">
        <v>4748406.5340307783</v>
      </c>
      <c r="E107" s="23">
        <v>4876923.5274514835</v>
      </c>
      <c r="F107" s="16">
        <v>4988417.1928832224</v>
      </c>
      <c r="G107" s="16">
        <v>5132531.1636811374</v>
      </c>
    </row>
    <row r="108" spans="1:7" x14ac:dyDescent="0.45">
      <c r="A108" s="9" t="s">
        <v>44</v>
      </c>
      <c r="B108" s="23">
        <v>608670.74282955541</v>
      </c>
      <c r="C108" s="23">
        <v>406150.89698512381</v>
      </c>
      <c r="D108" s="23">
        <v>529477.73003164353</v>
      </c>
      <c r="E108" s="23">
        <v>577069.06183967146</v>
      </c>
      <c r="F108" s="16">
        <v>592077.01732914906</v>
      </c>
      <c r="G108" s="16">
        <v>612351.95757839479</v>
      </c>
    </row>
    <row r="109" spans="1:7" x14ac:dyDescent="0.45">
      <c r="A109" s="9" t="s">
        <v>45</v>
      </c>
      <c r="B109" s="23">
        <v>22019399.020197645</v>
      </c>
      <c r="C109" s="23">
        <v>21258995.023076091</v>
      </c>
      <c r="D109" s="23">
        <v>24294383.471296467</v>
      </c>
      <c r="E109" s="23">
        <v>25332444.203781243</v>
      </c>
      <c r="F109" s="16">
        <v>27168073.221747264</v>
      </c>
      <c r="G109" s="16">
        <v>28958065.319402166</v>
      </c>
    </row>
    <row r="110" spans="1:7" x14ac:dyDescent="0.45">
      <c r="A110" s="9" t="s">
        <v>46</v>
      </c>
      <c r="B110" s="23">
        <v>5685657.2652918464</v>
      </c>
      <c r="C110" s="23">
        <v>5053919.2024303153</v>
      </c>
      <c r="D110" s="23">
        <v>4657107.7507670783</v>
      </c>
      <c r="E110" s="23">
        <v>4615035.8585209846</v>
      </c>
      <c r="F110" s="16">
        <v>4864847.4742364818</v>
      </c>
      <c r="G110" s="16">
        <v>5134752.3756127954</v>
      </c>
    </row>
    <row r="111" spans="1:7" x14ac:dyDescent="0.45">
      <c r="A111" s="9" t="s">
        <v>47</v>
      </c>
      <c r="B111" s="23">
        <v>1005002.2579771765</v>
      </c>
      <c r="C111" s="23">
        <v>824065.31034370326</v>
      </c>
      <c r="D111" s="23">
        <v>1452267.1102933306</v>
      </c>
      <c r="E111" s="23">
        <v>2070640.7813476922</v>
      </c>
      <c r="F111" s="16">
        <v>2553741.6830424662</v>
      </c>
      <c r="G111" s="16">
        <v>3091799.8919541538</v>
      </c>
    </row>
    <row r="112" spans="1:7" x14ac:dyDescent="0.45">
      <c r="A112" s="9" t="s">
        <v>48</v>
      </c>
      <c r="B112" s="23">
        <v>4991859.8716644198</v>
      </c>
      <c r="C112" s="23">
        <v>4841800.0843764171</v>
      </c>
      <c r="D112" s="23">
        <v>4931704.4655899899</v>
      </c>
      <c r="E112" s="23">
        <v>5198150.48300381</v>
      </c>
      <c r="F112" s="16">
        <v>5358618.3429005006</v>
      </c>
      <c r="G112" s="16">
        <v>5481135.0022958135</v>
      </c>
    </row>
    <row r="113" spans="1:9" x14ac:dyDescent="0.45">
      <c r="A113" s="9" t="s">
        <v>49</v>
      </c>
      <c r="B113" s="23">
        <v>3046846.6109022247</v>
      </c>
      <c r="C113" s="23">
        <v>1870378.5677721088</v>
      </c>
      <c r="D113" s="23">
        <v>1497721.8783246465</v>
      </c>
      <c r="E113" s="23">
        <v>1465148.5376255126</v>
      </c>
      <c r="F113" s="16">
        <v>1473605.8755551395</v>
      </c>
      <c r="G113" s="16">
        <v>1503069.1245192746</v>
      </c>
    </row>
    <row r="114" spans="1:9" x14ac:dyDescent="0.45">
      <c r="A114" s="9" t="s">
        <v>50</v>
      </c>
      <c r="B114" s="23">
        <v>2986235.1353396433</v>
      </c>
      <c r="C114" s="23">
        <v>3080981.8893877165</v>
      </c>
      <c r="D114" s="23">
        <v>3132682.5173548907</v>
      </c>
      <c r="E114" s="23">
        <v>3270133.2717787796</v>
      </c>
      <c r="F114" s="16">
        <v>3290895.3882470271</v>
      </c>
      <c r="G114" s="16">
        <v>3388333.8398450268</v>
      </c>
    </row>
    <row r="115" spans="1:9" x14ac:dyDescent="0.45">
      <c r="A115" s="9" t="s">
        <v>51</v>
      </c>
      <c r="B115" s="23">
        <v>3542147.7252954207</v>
      </c>
      <c r="C115" s="23">
        <v>3324530.0182266538</v>
      </c>
      <c r="D115" s="23">
        <v>3027754.7637051381</v>
      </c>
      <c r="E115" s="23">
        <v>3071200.4077846152</v>
      </c>
      <c r="F115" s="16">
        <v>3024022.3729831418</v>
      </c>
      <c r="G115" s="16">
        <v>2988532.3930461635</v>
      </c>
    </row>
    <row r="116" spans="1:9" x14ac:dyDescent="0.45">
      <c r="B116" s="23"/>
      <c r="C116" s="23"/>
      <c r="D116" s="23"/>
      <c r="E116" s="23"/>
      <c r="F116" s="16"/>
      <c r="G116" s="16"/>
      <c r="H116" s="45"/>
    </row>
    <row r="117" spans="1:9" s="1" customFormat="1" x14ac:dyDescent="0.45">
      <c r="A117" s="17" t="s">
        <v>74</v>
      </c>
      <c r="B117" s="21">
        <v>204343987.47235954</v>
      </c>
      <c r="C117" s="21">
        <v>190131706.8425802</v>
      </c>
      <c r="D117" s="21">
        <v>191929343.88493514</v>
      </c>
      <c r="E117" s="21">
        <v>200221783.61446038</v>
      </c>
      <c r="F117" s="18">
        <v>206314985.3516556</v>
      </c>
      <c r="G117" s="18">
        <v>213291090.83219537</v>
      </c>
      <c r="H117" s="24"/>
      <c r="I117" s="24"/>
    </row>
    <row r="118" spans="1:9" s="1" customFormat="1" x14ac:dyDescent="0.45">
      <c r="A118" s="20" t="s">
        <v>68</v>
      </c>
      <c r="B118" s="24">
        <v>746418.11</v>
      </c>
      <c r="C118" s="24">
        <v>1896699.170518012</v>
      </c>
      <c r="D118" s="24">
        <v>2229142.0998298312</v>
      </c>
      <c r="E118" s="24">
        <v>2322076.3234153786</v>
      </c>
      <c r="F118" s="18">
        <v>2967196.0126270177</v>
      </c>
      <c r="G118" s="18">
        <v>4492894.709733774</v>
      </c>
      <c r="H118" s="24"/>
      <c r="I118" s="24"/>
    </row>
    <row r="119" spans="1:9" x14ac:dyDescent="0.45">
      <c r="A119" s="20" t="s">
        <v>70</v>
      </c>
      <c r="B119" s="18">
        <v>205090405.58235955</v>
      </c>
      <c r="C119" s="18">
        <v>192028406.01309821</v>
      </c>
      <c r="D119" s="18">
        <v>194158485.98476496</v>
      </c>
      <c r="E119" s="18">
        <v>202543859.93787575</v>
      </c>
      <c r="F119" s="18">
        <v>209282181.36428261</v>
      </c>
      <c r="G119" s="18">
        <v>217783985.54192916</v>
      </c>
      <c r="H119" s="24"/>
      <c r="I119" s="24"/>
    </row>
    <row r="120" spans="1:9" x14ac:dyDescent="0.45">
      <c r="A120" s="25"/>
      <c r="B120" s="18"/>
      <c r="C120" s="18"/>
      <c r="D120" s="18"/>
      <c r="E120" s="18"/>
      <c r="F120" s="18"/>
      <c r="G120" s="18"/>
      <c r="H120" s="24"/>
      <c r="I120" s="24"/>
    </row>
    <row r="121" spans="1:9" x14ac:dyDescent="0.45">
      <c r="B121" s="16"/>
      <c r="C121" s="16"/>
      <c r="D121" s="16"/>
      <c r="E121" s="16"/>
      <c r="F121" s="16"/>
      <c r="G121" s="16"/>
      <c r="H121" s="24"/>
      <c r="I121" s="24"/>
    </row>
    <row r="122" spans="1:9" s="1" customFormat="1" x14ac:dyDescent="0.45">
      <c r="A122" s="22" t="s">
        <v>56</v>
      </c>
      <c r="B122" s="14" t="s">
        <v>53</v>
      </c>
      <c r="C122" s="14">
        <v>2020</v>
      </c>
      <c r="D122" s="14" t="s">
        <v>54</v>
      </c>
      <c r="E122" s="14">
        <v>2022</v>
      </c>
      <c r="F122" s="14">
        <v>2023</v>
      </c>
      <c r="G122" s="14">
        <v>2024</v>
      </c>
      <c r="H122" s="19"/>
    </row>
    <row r="124" spans="1:9" x14ac:dyDescent="0.45">
      <c r="A124" s="9" t="s">
        <v>0</v>
      </c>
    </row>
    <row r="125" spans="1:9" x14ac:dyDescent="0.45">
      <c r="A125" s="9" t="s">
        <v>1</v>
      </c>
      <c r="B125" s="23">
        <v>100</v>
      </c>
      <c r="C125" s="23">
        <v>110.669106693472</v>
      </c>
      <c r="D125" s="23">
        <v>124.513810591929</v>
      </c>
      <c r="E125" s="23">
        <v>126.73032585134899</v>
      </c>
      <c r="F125" s="23">
        <v>138.19553938270801</v>
      </c>
      <c r="G125" s="48">
        <v>146.13318763753699</v>
      </c>
    </row>
    <row r="126" spans="1:9" x14ac:dyDescent="0.45">
      <c r="A126" s="9" t="s">
        <v>2</v>
      </c>
      <c r="B126" s="23">
        <v>100</v>
      </c>
      <c r="C126" s="23">
        <v>115.626716805559</v>
      </c>
      <c r="D126" s="23">
        <v>138.83612078632299</v>
      </c>
      <c r="E126" s="23">
        <v>165.81979167582401</v>
      </c>
      <c r="F126" s="23">
        <v>177.18499750390001</v>
      </c>
      <c r="G126" s="48">
        <v>207.522645758729</v>
      </c>
    </row>
    <row r="127" spans="1:9" x14ac:dyDescent="0.45">
      <c r="A127" s="9" t="s">
        <v>3</v>
      </c>
      <c r="B127" s="23">
        <v>100</v>
      </c>
      <c r="C127" s="23">
        <v>107.43084338450301</v>
      </c>
      <c r="D127" s="23">
        <v>120.6402473652675</v>
      </c>
      <c r="E127" s="23">
        <v>141.123918254768</v>
      </c>
      <c r="F127" s="23">
        <v>196.38912408284401</v>
      </c>
      <c r="G127" s="48">
        <v>208.32677233767299</v>
      </c>
    </row>
    <row r="128" spans="1:9" x14ac:dyDescent="0.45">
      <c r="A128" s="9" t="s">
        <v>4</v>
      </c>
      <c r="B128" s="23">
        <v>100</v>
      </c>
      <c r="C128" s="23">
        <v>114.781227973078</v>
      </c>
      <c r="D128" s="23">
        <v>117.990631953842</v>
      </c>
      <c r="E128" s="23">
        <v>123.974302843343</v>
      </c>
      <c r="F128" s="23">
        <v>147.73950867141801</v>
      </c>
      <c r="G128" s="47">
        <v>181.67715692624685</v>
      </c>
    </row>
    <row r="129" spans="1:7" x14ac:dyDescent="0.45">
      <c r="A129" s="9" t="s">
        <v>5</v>
      </c>
      <c r="B129" s="23"/>
      <c r="C129" s="23"/>
      <c r="D129" s="23"/>
      <c r="E129" s="23"/>
      <c r="F129" s="23"/>
      <c r="G129" s="46"/>
    </row>
    <row r="130" spans="1:7" x14ac:dyDescent="0.45">
      <c r="A130" s="9" t="s">
        <v>6</v>
      </c>
      <c r="B130" s="23">
        <v>100</v>
      </c>
      <c r="C130" s="23">
        <v>118.457489438137</v>
      </c>
      <c r="D130" s="23">
        <v>183.68666348133499</v>
      </c>
      <c r="E130" s="23">
        <v>182.91661982557099</v>
      </c>
      <c r="F130" s="23">
        <v>191.705731884058</v>
      </c>
      <c r="G130" s="47">
        <v>202.37165965455489</v>
      </c>
    </row>
    <row r="131" spans="1:7" x14ac:dyDescent="0.45">
      <c r="A131" s="9" t="s">
        <v>7</v>
      </c>
      <c r="B131" s="23">
        <v>100</v>
      </c>
      <c r="C131" s="23">
        <v>167.72</v>
      </c>
      <c r="D131" s="23">
        <v>180.9294039807645</v>
      </c>
      <c r="E131" s="23">
        <v>197.91307487026484</v>
      </c>
      <c r="F131" s="23">
        <v>216.67828069834053</v>
      </c>
      <c r="G131" s="47">
        <v>239.75155553827415</v>
      </c>
    </row>
    <row r="132" spans="1:7" x14ac:dyDescent="0.45">
      <c r="A132" s="9" t="s">
        <v>8</v>
      </c>
      <c r="B132" s="23">
        <v>100</v>
      </c>
      <c r="C132" s="23">
        <v>161.25</v>
      </c>
      <c r="D132" s="23">
        <v>174.45940398076448</v>
      </c>
      <c r="E132" s="23">
        <v>191.44307487026481</v>
      </c>
      <c r="F132" s="23">
        <v>210.2082806983405</v>
      </c>
      <c r="G132" s="47">
        <v>233.28155553827412</v>
      </c>
    </row>
    <row r="133" spans="1:7" x14ac:dyDescent="0.45">
      <c r="A133" s="9" t="s">
        <v>9</v>
      </c>
      <c r="B133" s="23">
        <v>100</v>
      </c>
      <c r="C133" s="23">
        <v>157.30476055867101</v>
      </c>
      <c r="D133" s="23">
        <v>170.51416453943551</v>
      </c>
      <c r="E133" s="23">
        <v>187.49783542893584</v>
      </c>
      <c r="F133" s="23">
        <v>226.26304125701199</v>
      </c>
      <c r="G133" s="47">
        <v>249.33631609694561</v>
      </c>
    </row>
    <row r="134" spans="1:7" x14ac:dyDescent="0.45">
      <c r="A134" s="9" t="s">
        <v>10</v>
      </c>
      <c r="B134" s="23"/>
      <c r="C134" s="23"/>
      <c r="D134" s="23"/>
      <c r="E134" s="23"/>
      <c r="F134" s="23"/>
      <c r="G134" s="46"/>
    </row>
    <row r="135" spans="1:7" x14ac:dyDescent="0.45">
      <c r="A135" s="9" t="s">
        <v>11</v>
      </c>
      <c r="B135" s="23">
        <v>100</v>
      </c>
      <c r="C135" s="23">
        <v>116.098989697967</v>
      </c>
      <c r="D135" s="23">
        <v>119.267129811902</v>
      </c>
      <c r="E135" s="23">
        <v>124.55702854702</v>
      </c>
      <c r="F135" s="23">
        <v>127.33313940474601</v>
      </c>
      <c r="G135" s="48">
        <v>119.33</v>
      </c>
    </row>
    <row r="136" spans="1:7" x14ac:dyDescent="0.45">
      <c r="A136" s="9" t="s">
        <v>12</v>
      </c>
      <c r="B136" s="23">
        <v>100</v>
      </c>
      <c r="C136" s="23">
        <v>112.253641396747</v>
      </c>
      <c r="D136" s="23">
        <v>120.46304537751099</v>
      </c>
      <c r="E136" s="23">
        <v>131.446716267011</v>
      </c>
      <c r="F136" s="23">
        <v>155.966665494469</v>
      </c>
      <c r="G136" s="47">
        <v>179.03994033440262</v>
      </c>
    </row>
    <row r="137" spans="1:7" x14ac:dyDescent="0.45">
      <c r="A137" s="9" t="s">
        <v>13</v>
      </c>
      <c r="B137" s="23">
        <v>100</v>
      </c>
      <c r="C137" s="23">
        <v>116.253641396747</v>
      </c>
      <c r="D137" s="23">
        <v>125.46304537751099</v>
      </c>
      <c r="E137" s="23">
        <v>132.446716267011</v>
      </c>
      <c r="F137" s="23">
        <v>149.211922095087</v>
      </c>
      <c r="G137" s="47">
        <v>172.28519693502062</v>
      </c>
    </row>
    <row r="138" spans="1:7" x14ac:dyDescent="0.45">
      <c r="A138" s="9" t="s">
        <v>14</v>
      </c>
      <c r="B138" s="23">
        <v>100</v>
      </c>
      <c r="C138" s="23">
        <v>110.7260718254505</v>
      </c>
      <c r="D138" s="23">
        <v>156.03905126272701</v>
      </c>
      <c r="E138" s="23">
        <v>172.75459645933699</v>
      </c>
      <c r="F138" s="23">
        <v>176.98196313227399</v>
      </c>
      <c r="G138" s="47">
        <v>182.055237972208</v>
      </c>
    </row>
    <row r="139" spans="1:7" x14ac:dyDescent="0.45">
      <c r="A139" s="9" t="s">
        <v>15</v>
      </c>
      <c r="B139" s="23">
        <v>100</v>
      </c>
      <c r="C139" s="23">
        <v>107.020393713046</v>
      </c>
      <c r="D139" s="23">
        <v>120.2297976938105</v>
      </c>
      <c r="E139" s="23">
        <v>137.21346858331083</v>
      </c>
      <c r="F139" s="23">
        <v>185.978674411387</v>
      </c>
      <c r="G139" s="47">
        <v>209.05194925132059</v>
      </c>
    </row>
    <row r="140" spans="1:7" x14ac:dyDescent="0.45">
      <c r="A140" s="9" t="s">
        <v>16</v>
      </c>
      <c r="B140" s="23">
        <v>100</v>
      </c>
      <c r="C140" s="23">
        <v>106.76888873562601</v>
      </c>
      <c r="D140" s="23">
        <v>119.9782927163905</v>
      </c>
      <c r="E140" s="23">
        <v>136.96196360589084</v>
      </c>
      <c r="F140" s="23">
        <v>165.72716943396699</v>
      </c>
      <c r="G140" s="47">
        <v>188.80044427390061</v>
      </c>
    </row>
    <row r="141" spans="1:7" x14ac:dyDescent="0.45">
      <c r="A141" s="9" t="s">
        <v>17</v>
      </c>
      <c r="B141" s="23">
        <v>100</v>
      </c>
      <c r="C141" s="23">
        <v>116.443528212633</v>
      </c>
      <c r="D141" s="23">
        <v>129.65293219339748</v>
      </c>
      <c r="E141" s="23">
        <v>146.63660308289781</v>
      </c>
      <c r="F141" s="23">
        <v>169.40180891097401</v>
      </c>
      <c r="G141" s="47">
        <v>192.47508375090763</v>
      </c>
    </row>
    <row r="142" spans="1:7" x14ac:dyDescent="0.45">
      <c r="A142" s="9" t="s">
        <v>18</v>
      </c>
      <c r="B142" s="23">
        <v>100</v>
      </c>
      <c r="C142" s="23">
        <v>134.196642706885</v>
      </c>
      <c r="D142" s="23">
        <v>147.40604668764951</v>
      </c>
      <c r="E142" s="23">
        <v>164.38971757714984</v>
      </c>
      <c r="F142" s="23">
        <v>183.15492340522553</v>
      </c>
      <c r="G142" s="47">
        <v>206.22819824515915</v>
      </c>
    </row>
    <row r="143" spans="1:7" x14ac:dyDescent="0.45">
      <c r="A143" s="9" t="s">
        <v>19</v>
      </c>
      <c r="B143" s="23">
        <v>100</v>
      </c>
      <c r="C143" s="23">
        <v>107.731268569459</v>
      </c>
      <c r="D143" s="23">
        <v>116.940672550223</v>
      </c>
      <c r="E143" s="23">
        <v>137.92434343972383</v>
      </c>
      <c r="F143" s="23">
        <v>145.6895492678</v>
      </c>
      <c r="G143" s="47">
        <v>168.76282410773359</v>
      </c>
    </row>
    <row r="144" spans="1:7" x14ac:dyDescent="0.45">
      <c r="A144" s="9" t="s">
        <v>20</v>
      </c>
      <c r="B144" s="23">
        <v>100</v>
      </c>
      <c r="C144" s="23">
        <v>175.52332663695901</v>
      </c>
      <c r="D144" s="23">
        <v>311.73273061772397</v>
      </c>
      <c r="E144" s="23">
        <v>329.71640150722402</v>
      </c>
      <c r="F144" s="23">
        <v>334.4816073353</v>
      </c>
      <c r="G144" s="47">
        <v>357.54545778443816</v>
      </c>
    </row>
    <row r="145" spans="1:7" x14ac:dyDescent="0.45">
      <c r="A145" s="9" t="s">
        <v>21</v>
      </c>
      <c r="B145" s="23">
        <v>100</v>
      </c>
      <c r="C145" s="23">
        <v>122.92290726739201</v>
      </c>
      <c r="D145" s="23">
        <v>136.1323112481565</v>
      </c>
      <c r="E145" s="23">
        <v>153.115982137657</v>
      </c>
      <c r="F145" s="23">
        <v>184.88118796573301</v>
      </c>
      <c r="G145" s="47">
        <v>207.95446280566659</v>
      </c>
    </row>
    <row r="146" spans="1:7" x14ac:dyDescent="0.45">
      <c r="A146" s="9" t="s">
        <v>22</v>
      </c>
      <c r="B146" s="23">
        <v>100</v>
      </c>
      <c r="C146" s="23">
        <v>186.04458414630199</v>
      </c>
      <c r="D146" s="23">
        <v>199.25398812706646</v>
      </c>
      <c r="E146" s="23">
        <v>216.23765901656679</v>
      </c>
      <c r="F146" s="23">
        <v>235.00286484464249</v>
      </c>
      <c r="G146" s="47">
        <v>258.07613968457611</v>
      </c>
    </row>
    <row r="147" spans="1:7" x14ac:dyDescent="0.45">
      <c r="A147" s="9" t="s">
        <v>23</v>
      </c>
      <c r="B147" s="23">
        <v>100</v>
      </c>
      <c r="C147" s="23">
        <v>126.382860898345</v>
      </c>
      <c r="D147" s="23">
        <v>139.59226487910951</v>
      </c>
      <c r="E147" s="23">
        <v>156.57593576860984</v>
      </c>
      <c r="F147" s="23">
        <v>197.34114159668599</v>
      </c>
      <c r="G147" s="47">
        <v>220.4144164366196</v>
      </c>
    </row>
    <row r="148" spans="1:7" x14ac:dyDescent="0.45">
      <c r="A148" s="9" t="s">
        <v>24</v>
      </c>
      <c r="B148" s="23">
        <v>100</v>
      </c>
      <c r="C148" s="23">
        <v>131.59478952976201</v>
      </c>
      <c r="D148" s="23">
        <v>144.804193510527</v>
      </c>
      <c r="E148" s="23">
        <v>161.78786440002699</v>
      </c>
      <c r="F148" s="23">
        <v>180.553070228103</v>
      </c>
      <c r="G148" s="47">
        <v>203.61692067724113</v>
      </c>
    </row>
    <row r="149" spans="1:7" x14ac:dyDescent="0.45">
      <c r="A149" s="9" t="s">
        <v>25</v>
      </c>
      <c r="B149" s="23">
        <v>100</v>
      </c>
      <c r="C149" s="23">
        <v>112.23702149060399</v>
      </c>
      <c r="D149" s="23">
        <v>116.446425471368</v>
      </c>
      <c r="E149" s="23">
        <v>119.43009636086801</v>
      </c>
      <c r="F149" s="23">
        <v>122.195302188944</v>
      </c>
      <c r="G149" s="47">
        <v>146.14568386833332</v>
      </c>
    </row>
    <row r="150" spans="1:7" x14ac:dyDescent="0.45">
      <c r="A150" s="9" t="s">
        <v>26</v>
      </c>
      <c r="B150" s="23">
        <v>100</v>
      </c>
      <c r="C150" s="23">
        <v>118.826914011372</v>
      </c>
      <c r="D150" s="23">
        <v>149.03631799213699</v>
      </c>
      <c r="E150" s="23">
        <v>160.019988881637</v>
      </c>
      <c r="F150" s="23">
        <v>171.105194709713</v>
      </c>
      <c r="G150" s="47">
        <v>194.22284054844778</v>
      </c>
    </row>
    <row r="151" spans="1:7" x14ac:dyDescent="0.45">
      <c r="A151" s="9" t="s">
        <v>27</v>
      </c>
      <c r="B151" s="23">
        <v>100</v>
      </c>
      <c r="C151" s="23">
        <v>103.24602342766001</v>
      </c>
      <c r="D151" s="23">
        <v>112.444447065833</v>
      </c>
      <c r="E151" s="23">
        <v>127.906500714245</v>
      </c>
      <c r="F151" s="23">
        <v>149.02223511083901</v>
      </c>
      <c r="G151" s="47">
        <v>179.766932748004</v>
      </c>
    </row>
    <row r="152" spans="1:7" x14ac:dyDescent="0.45">
      <c r="A152" s="9" t="s">
        <v>28</v>
      </c>
      <c r="B152" s="23">
        <v>100</v>
      </c>
      <c r="C152" s="23">
        <v>152.041055392347</v>
      </c>
      <c r="D152" s="23">
        <v>165.25045937311199</v>
      </c>
      <c r="E152" s="23">
        <v>185.23413026261201</v>
      </c>
      <c r="F152" s="23">
        <v>198.99933609068799</v>
      </c>
      <c r="G152" s="47">
        <v>223.23255807671896</v>
      </c>
    </row>
    <row r="153" spans="1:7" x14ac:dyDescent="0.45">
      <c r="A153" s="9" t="s">
        <v>29</v>
      </c>
      <c r="B153" s="23"/>
      <c r="C153" s="23"/>
      <c r="D153" s="23"/>
      <c r="E153" s="23"/>
      <c r="F153" s="23"/>
      <c r="G153" s="46"/>
    </row>
    <row r="154" spans="1:7" x14ac:dyDescent="0.45">
      <c r="A154" s="9" t="s">
        <v>30</v>
      </c>
      <c r="B154" s="23">
        <v>100</v>
      </c>
      <c r="C154" s="23">
        <v>117.77229515097901</v>
      </c>
      <c r="D154" s="23">
        <v>142.981699131743</v>
      </c>
      <c r="E154" s="23">
        <v>147.96537002124401</v>
      </c>
      <c r="F154" s="23">
        <v>204.730575849319</v>
      </c>
      <c r="G154" s="47">
        <v>251.46143325417916</v>
      </c>
    </row>
    <row r="155" spans="1:7" x14ac:dyDescent="0.45">
      <c r="A155" s="9" t="s">
        <v>31</v>
      </c>
      <c r="B155" s="23">
        <v>100</v>
      </c>
      <c r="C155" s="23">
        <v>111.324242231863</v>
      </c>
      <c r="D155" s="23">
        <v>128.30791312136333</v>
      </c>
      <c r="E155" s="23">
        <v>145.29158401086366</v>
      </c>
      <c r="F155" s="23">
        <v>194.05678983893901</v>
      </c>
      <c r="G155" s="47">
        <v>220.78764724379914</v>
      </c>
    </row>
    <row r="156" spans="1:7" x14ac:dyDescent="0.45">
      <c r="A156" s="9" t="s">
        <v>32</v>
      </c>
      <c r="B156" s="23">
        <v>100</v>
      </c>
      <c r="C156" s="23">
        <v>117.639263631178</v>
      </c>
      <c r="D156" s="23">
        <v>119.622934520678</v>
      </c>
      <c r="E156" s="23">
        <v>124.38814034875401</v>
      </c>
      <c r="F156" s="23">
        <v>131.90808957621101</v>
      </c>
      <c r="G156" s="47">
        <v>158.63894698107117</v>
      </c>
    </row>
    <row r="157" spans="1:7" x14ac:dyDescent="0.45">
      <c r="A157" s="9" t="s">
        <v>33</v>
      </c>
      <c r="B157" s="23">
        <v>100</v>
      </c>
      <c r="C157" s="23">
        <v>128.71816138240899</v>
      </c>
      <c r="D157" s="23">
        <v>147.92756536317401</v>
      </c>
      <c r="E157" s="23">
        <v>158.911236252674</v>
      </c>
      <c r="F157" s="23">
        <v>187.67644208075001</v>
      </c>
      <c r="G157" s="47">
        <v>244.80729948561</v>
      </c>
    </row>
    <row r="158" spans="1:7" x14ac:dyDescent="0.45">
      <c r="A158" s="9" t="s">
        <v>34</v>
      </c>
      <c r="B158" s="23">
        <v>100</v>
      </c>
      <c r="C158" s="23">
        <v>111.324242231863</v>
      </c>
      <c r="D158" s="23">
        <v>128.30791312136333</v>
      </c>
      <c r="E158" s="23">
        <v>147.07311894943902</v>
      </c>
      <c r="F158" s="23">
        <v>171.59306817689648</v>
      </c>
      <c r="G158" s="47">
        <v>198.32392558175661</v>
      </c>
    </row>
    <row r="159" spans="1:7" x14ac:dyDescent="0.45">
      <c r="A159" s="9" t="s">
        <v>35</v>
      </c>
      <c r="B159" s="23">
        <v>100</v>
      </c>
      <c r="C159" s="23">
        <v>112.500222487089</v>
      </c>
      <c r="D159" s="23">
        <v>129.48389337658932</v>
      </c>
      <c r="E159" s="23">
        <v>148.24909920466501</v>
      </c>
      <c r="F159" s="23">
        <v>172.76904843212247</v>
      </c>
      <c r="G159" s="47">
        <v>199.49990583698263</v>
      </c>
    </row>
    <row r="160" spans="1:7" x14ac:dyDescent="0.45">
      <c r="A160" s="9" t="s">
        <v>36</v>
      </c>
      <c r="B160" s="23"/>
      <c r="C160" s="23"/>
      <c r="D160" s="23"/>
      <c r="E160" s="23"/>
      <c r="F160" s="23"/>
      <c r="G160" s="46"/>
    </row>
    <row r="161" spans="1:7" x14ac:dyDescent="0.45">
      <c r="A161" s="9" t="s">
        <v>37</v>
      </c>
      <c r="B161" s="23">
        <v>100</v>
      </c>
      <c r="C161" s="23">
        <v>112.37080602886201</v>
      </c>
      <c r="D161" s="23">
        <v>122.580210009627</v>
      </c>
      <c r="E161" s="23">
        <v>131.56388089912701</v>
      </c>
      <c r="F161" s="23">
        <v>142.32908672720299</v>
      </c>
      <c r="G161" s="47">
        <v>148.17412524102267</v>
      </c>
    </row>
    <row r="162" spans="1:7" x14ac:dyDescent="0.45">
      <c r="A162" s="9" t="s">
        <v>38</v>
      </c>
      <c r="B162" s="23">
        <v>100</v>
      </c>
      <c r="C162" s="23">
        <v>103.612682891815</v>
      </c>
      <c r="D162" s="23">
        <v>119.596353781315</v>
      </c>
      <c r="E162" s="23">
        <v>137.36155960939101</v>
      </c>
      <c r="F162" s="23">
        <v>141.88150883684801</v>
      </c>
      <c r="G162" s="47">
        <v>147.72654735066769</v>
      </c>
    </row>
    <row r="163" spans="1:7" x14ac:dyDescent="0.45">
      <c r="A163" s="9" t="s">
        <v>39</v>
      </c>
      <c r="B163" s="23">
        <v>100</v>
      </c>
      <c r="C163" s="23">
        <v>102.95025636943301</v>
      </c>
      <c r="D163" s="23">
        <v>136.15966035019801</v>
      </c>
      <c r="E163" s="23">
        <v>139.143331239698</v>
      </c>
      <c r="F163" s="23">
        <v>162.90853706777401</v>
      </c>
      <c r="G163" s="47">
        <v>191.82323470493859</v>
      </c>
    </row>
    <row r="164" spans="1:7" x14ac:dyDescent="0.45">
      <c r="A164" s="9" t="s">
        <v>40</v>
      </c>
      <c r="B164" s="23">
        <v>100</v>
      </c>
      <c r="C164" s="23">
        <v>132.95025636943299</v>
      </c>
      <c r="D164" s="23">
        <v>136.15966035019801</v>
      </c>
      <c r="E164" s="23">
        <v>139.143331239698</v>
      </c>
      <c r="F164" s="23">
        <v>157.11853706777401</v>
      </c>
      <c r="G164" s="47">
        <v>186.03323470493859</v>
      </c>
    </row>
    <row r="165" spans="1:7" x14ac:dyDescent="0.45">
      <c r="A165" s="9" t="s">
        <v>41</v>
      </c>
      <c r="B165" s="23">
        <v>100</v>
      </c>
      <c r="C165" s="23">
        <v>103.51300465690601</v>
      </c>
      <c r="D165" s="23">
        <v>149.72240863767101</v>
      </c>
      <c r="E165" s="23">
        <v>206.70607952717086</v>
      </c>
      <c r="F165" s="23">
        <v>235.47128535524701</v>
      </c>
      <c r="G165" s="47">
        <v>264.38598299241158</v>
      </c>
    </row>
    <row r="166" spans="1:7" x14ac:dyDescent="0.45">
      <c r="A166" s="9" t="s">
        <v>42</v>
      </c>
      <c r="B166" s="23"/>
      <c r="C166" s="23"/>
      <c r="D166" s="23"/>
      <c r="E166" s="23"/>
      <c r="F166" s="23"/>
      <c r="G166" s="46"/>
    </row>
    <row r="167" spans="1:7" x14ac:dyDescent="0.45">
      <c r="A167" s="9" t="s">
        <v>43</v>
      </c>
      <c r="B167" s="23">
        <v>100</v>
      </c>
      <c r="C167" s="23">
        <v>111.24602342766001</v>
      </c>
      <c r="D167" s="23">
        <v>119.444447065833</v>
      </c>
      <c r="E167" s="23">
        <v>125.406500714245</v>
      </c>
      <c r="F167" s="23">
        <v>148.22223578083899</v>
      </c>
      <c r="G167" s="47">
        <v>177.13693341800357</v>
      </c>
    </row>
    <row r="168" spans="1:7" x14ac:dyDescent="0.45">
      <c r="A168" s="9" t="s">
        <v>44</v>
      </c>
      <c r="B168" s="23">
        <v>100</v>
      </c>
      <c r="C168" s="23">
        <v>113.24602342765978</v>
      </c>
      <c r="D168" s="23">
        <v>132.444447065833</v>
      </c>
      <c r="E168" s="23">
        <v>137.406500714245</v>
      </c>
      <c r="F168" s="23">
        <v>163.22223578083899</v>
      </c>
      <c r="G168" s="47">
        <v>192.13693341800357</v>
      </c>
    </row>
    <row r="169" spans="1:7" x14ac:dyDescent="0.45">
      <c r="A169" s="9" t="s">
        <v>45</v>
      </c>
      <c r="B169" s="23">
        <v>100</v>
      </c>
      <c r="C169" s="23">
        <v>102.229153527897</v>
      </c>
      <c r="D169" s="23">
        <v>106.93855750866101</v>
      </c>
      <c r="E169" s="23">
        <v>109.922228398161</v>
      </c>
      <c r="F169" s="23">
        <v>113.067434226237</v>
      </c>
      <c r="G169" s="47">
        <v>142.50508006497199</v>
      </c>
    </row>
    <row r="170" spans="1:7" x14ac:dyDescent="0.45">
      <c r="A170" s="9" t="s">
        <v>46</v>
      </c>
      <c r="B170" s="23">
        <v>100</v>
      </c>
      <c r="C170" s="23">
        <v>113.24602342765978</v>
      </c>
      <c r="D170" s="23">
        <v>142.444447065833</v>
      </c>
      <c r="E170" s="23">
        <v>160.406500714245</v>
      </c>
      <c r="F170" s="23">
        <v>183.22223578083899</v>
      </c>
      <c r="G170" s="47">
        <v>212.13693341800357</v>
      </c>
    </row>
    <row r="171" spans="1:7" x14ac:dyDescent="0.45">
      <c r="A171" s="9" t="s">
        <v>47</v>
      </c>
      <c r="B171" s="23">
        <v>100</v>
      </c>
      <c r="C171" s="23">
        <v>113.24602342765978</v>
      </c>
      <c r="D171" s="23">
        <v>117.444447065833</v>
      </c>
      <c r="E171" s="23">
        <v>119.406500714245</v>
      </c>
      <c r="F171" s="23">
        <v>126.222235780839</v>
      </c>
      <c r="G171" s="47">
        <v>155.13693341800359</v>
      </c>
    </row>
    <row r="172" spans="1:7" x14ac:dyDescent="0.45">
      <c r="A172" s="9" t="s">
        <v>48</v>
      </c>
      <c r="B172" s="23">
        <v>100</v>
      </c>
      <c r="C172" s="23">
        <v>103.24602342766001</v>
      </c>
      <c r="D172" s="23">
        <v>115.444447065833</v>
      </c>
      <c r="E172" s="23">
        <v>131.406500714245</v>
      </c>
      <c r="F172" s="23">
        <v>153.22223578083899</v>
      </c>
      <c r="G172" s="47">
        <v>182.13693341800357</v>
      </c>
    </row>
    <row r="173" spans="1:7" x14ac:dyDescent="0.45">
      <c r="A173" s="9" t="s">
        <v>49</v>
      </c>
      <c r="B173" s="23">
        <v>100</v>
      </c>
      <c r="C173" s="23">
        <v>157.94499221618599</v>
      </c>
      <c r="D173" s="23">
        <v>171.15439619694999</v>
      </c>
      <c r="E173" s="23">
        <v>178.138067086451</v>
      </c>
      <c r="F173" s="23">
        <v>197.90327291452601</v>
      </c>
      <c r="G173" s="47">
        <v>217.28088797728753</v>
      </c>
    </row>
    <row r="174" spans="1:7" x14ac:dyDescent="0.45">
      <c r="A174" s="9" t="s">
        <v>50</v>
      </c>
      <c r="B174" s="23">
        <v>100</v>
      </c>
      <c r="C174" s="23">
        <v>115.94499221618599</v>
      </c>
      <c r="D174" s="23">
        <v>120.15439619695</v>
      </c>
      <c r="E174" s="23">
        <v>124.138067086451</v>
      </c>
      <c r="F174" s="23">
        <v>142.90327291452601</v>
      </c>
      <c r="G174" s="47">
        <v>166.74260520456255</v>
      </c>
    </row>
    <row r="175" spans="1:7" x14ac:dyDescent="0.45">
      <c r="A175" s="9" t="s">
        <v>51</v>
      </c>
      <c r="B175" s="23">
        <v>100</v>
      </c>
      <c r="C175" s="23">
        <v>129.94499221618599</v>
      </c>
      <c r="D175" s="23">
        <v>140.15439619694999</v>
      </c>
      <c r="E175" s="23">
        <v>148.138067086451</v>
      </c>
      <c r="F175" s="23">
        <v>157.90327291452601</v>
      </c>
      <c r="G175" s="47">
        <v>188.98170428707502</v>
      </c>
    </row>
    <row r="176" spans="1:7" x14ac:dyDescent="0.45">
      <c r="G176" s="46"/>
    </row>
    <row r="177" spans="1:8" s="53" customFormat="1" x14ac:dyDescent="0.45">
      <c r="A177" s="17" t="s">
        <v>75</v>
      </c>
      <c r="B177" s="51">
        <v>100</v>
      </c>
      <c r="C177" s="51">
        <v>111.34814247856262</v>
      </c>
      <c r="D177" s="51">
        <v>125.439290017361</v>
      </c>
      <c r="E177" s="51">
        <v>135.45215880941768</v>
      </c>
      <c r="F177" s="51">
        <v>144.06781144307101</v>
      </c>
      <c r="G177" s="52">
        <v>170.94919322550066</v>
      </c>
      <c r="H177" s="9"/>
    </row>
    <row r="180" spans="1:8" s="1" customFormat="1" x14ac:dyDescent="0.45">
      <c r="A180" s="13" t="s">
        <v>71</v>
      </c>
      <c r="B180" s="26" t="s">
        <v>53</v>
      </c>
      <c r="C180" s="26">
        <v>2020</v>
      </c>
      <c r="D180" s="26" t="s">
        <v>54</v>
      </c>
      <c r="E180" s="26">
        <v>2022</v>
      </c>
      <c r="F180" s="26">
        <v>2023</v>
      </c>
      <c r="G180" s="26">
        <v>2024</v>
      </c>
      <c r="H180" s="19"/>
    </row>
    <row r="182" spans="1:8" x14ac:dyDescent="0.45">
      <c r="A182" s="9" t="s">
        <v>0</v>
      </c>
    </row>
    <row r="183" spans="1:8" x14ac:dyDescent="0.45">
      <c r="A183" s="9" t="s">
        <v>1</v>
      </c>
      <c r="B183" s="23">
        <v>17.580741724995079</v>
      </c>
      <c r="C183" s="23">
        <v>19.470378088008516</v>
      </c>
      <c r="D183" s="23">
        <v>20.063999654105675</v>
      </c>
      <c r="E183" s="23">
        <v>18.504942591100349</v>
      </c>
      <c r="F183" s="23">
        <v>18.864807362989257</v>
      </c>
      <c r="G183" s="29">
        <v>16.981152021899611</v>
      </c>
    </row>
    <row r="184" spans="1:8" x14ac:dyDescent="0.45">
      <c r="A184" s="9" t="s">
        <v>2</v>
      </c>
      <c r="B184" s="23">
        <v>5.7555556249446509</v>
      </c>
      <c r="C184" s="23">
        <v>6.4690194527134581</v>
      </c>
      <c r="D184" s="23">
        <v>7.0608351693072082</v>
      </c>
      <c r="E184" s="23">
        <v>7.6912862608166019</v>
      </c>
      <c r="F184" s="23">
        <v>7.295727666652299</v>
      </c>
      <c r="G184" s="29">
        <v>6.80119425773609</v>
      </c>
    </row>
    <row r="185" spans="1:8" x14ac:dyDescent="0.45">
      <c r="A185" s="9" t="s">
        <v>3</v>
      </c>
      <c r="B185" s="23">
        <v>1.3188753982815915</v>
      </c>
      <c r="C185" s="23">
        <v>1.3978443139137784</v>
      </c>
      <c r="D185" s="23">
        <v>1.4242250960712333</v>
      </c>
      <c r="E185" s="23">
        <v>1.5690250628213191</v>
      </c>
      <c r="F185" s="23">
        <v>1.2181283646779928</v>
      </c>
      <c r="G185" s="29">
        <v>1.4488742003527211</v>
      </c>
    </row>
    <row r="186" spans="1:8" x14ac:dyDescent="0.45">
      <c r="A186" s="9" t="s">
        <v>4</v>
      </c>
      <c r="B186" s="23">
        <v>1.173761168605256</v>
      </c>
      <c r="C186" s="23">
        <v>1.266350107541846</v>
      </c>
      <c r="D186" s="23">
        <v>1.150225897666302</v>
      </c>
      <c r="E186" s="23">
        <v>1.1051797902389073</v>
      </c>
      <c r="F186" s="23">
        <v>1.0873399347953423</v>
      </c>
      <c r="G186" s="29">
        <v>1.2242277285436765</v>
      </c>
    </row>
    <row r="187" spans="1:8" x14ac:dyDescent="0.45">
      <c r="A187" s="9" t="s">
        <v>5</v>
      </c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9">
        <v>0</v>
      </c>
    </row>
    <row r="188" spans="1:8" x14ac:dyDescent="0.45">
      <c r="A188" s="9" t="s">
        <v>6</v>
      </c>
      <c r="B188" s="23">
        <v>5.8491809584696348</v>
      </c>
      <c r="C188" s="23">
        <v>4.8158879112069206</v>
      </c>
      <c r="D188" s="23">
        <v>4.0024197512524138</v>
      </c>
      <c r="E188" s="23">
        <v>4.4146568239144672</v>
      </c>
      <c r="F188" s="23">
        <v>4.4093793520087381</v>
      </c>
      <c r="G188" s="29">
        <v>4.0045169950067221</v>
      </c>
    </row>
    <row r="189" spans="1:8" x14ac:dyDescent="0.45">
      <c r="A189" s="9" t="s">
        <v>7</v>
      </c>
      <c r="B189" s="23">
        <v>1.1166953100165754E-2</v>
      </c>
      <c r="C189" s="23">
        <v>9.8319415527397466E-3</v>
      </c>
      <c r="D189" s="23">
        <v>9.1387617846083301E-3</v>
      </c>
      <c r="E189" s="23">
        <v>8.5048477589967676E-3</v>
      </c>
      <c r="F189" s="23">
        <v>8.2828449623550768E-3</v>
      </c>
      <c r="G189" s="29">
        <v>6.6801522444318749E-3</v>
      </c>
    </row>
    <row r="190" spans="1:8" x14ac:dyDescent="0.45">
      <c r="A190" s="9" t="s">
        <v>8</v>
      </c>
      <c r="B190" s="23">
        <v>1.9149784434942061E-2</v>
      </c>
      <c r="C190" s="23">
        <v>6.5276676443673035E-3</v>
      </c>
      <c r="D190" s="23">
        <v>3.2934084378792902E-2</v>
      </c>
      <c r="E190" s="23">
        <v>4.3415353614323998E-2</v>
      </c>
      <c r="F190" s="23">
        <v>6.3419828381634208E-2</v>
      </c>
      <c r="G190" s="29">
        <v>0.10053806720802677</v>
      </c>
    </row>
    <row r="191" spans="1:8" x14ac:dyDescent="0.45">
      <c r="A191" s="9" t="s">
        <v>9</v>
      </c>
      <c r="B191" s="23">
        <v>0.18989445073165548</v>
      </c>
      <c r="C191" s="23">
        <v>0.20635145689690951</v>
      </c>
      <c r="D191" s="23">
        <v>0.19512219468832162</v>
      </c>
      <c r="E191" s="23">
        <v>0.19587880870586663</v>
      </c>
      <c r="F191" s="23">
        <v>0.1782958597531209</v>
      </c>
      <c r="G191" s="29">
        <v>0.12866447739812426</v>
      </c>
    </row>
    <row r="192" spans="1:8" x14ac:dyDescent="0.45">
      <c r="A192" s="9" t="s">
        <v>10</v>
      </c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9">
        <v>0</v>
      </c>
    </row>
    <row r="193" spans="1:7" x14ac:dyDescent="0.45">
      <c r="A193" s="9" t="s">
        <v>11</v>
      </c>
      <c r="B193" s="23">
        <v>6.8846206383711098E-2</v>
      </c>
      <c r="C193" s="23">
        <v>2.6384829554485074E-2</v>
      </c>
      <c r="D193" s="23">
        <v>1.3154123684646591E-2</v>
      </c>
      <c r="E193" s="23">
        <v>7.3206025281269569E-3</v>
      </c>
      <c r="F193" s="23">
        <v>4.9661798163841047E-3</v>
      </c>
      <c r="G193" s="29">
        <v>3.2374675438149041E-3</v>
      </c>
    </row>
    <row r="194" spans="1:7" x14ac:dyDescent="0.45">
      <c r="A194" s="9" t="s">
        <v>12</v>
      </c>
      <c r="B194" s="23">
        <v>1.096260520831444</v>
      </c>
      <c r="C194" s="23">
        <v>1.0782627903475037</v>
      </c>
      <c r="D194" s="23">
        <v>1.0499450724048267</v>
      </c>
      <c r="E194" s="23">
        <v>1.0952061850926182</v>
      </c>
      <c r="F194" s="23">
        <v>1.1313047431853722</v>
      </c>
      <c r="G194" s="29">
        <v>1.1580260276141567</v>
      </c>
    </row>
    <row r="195" spans="1:7" x14ac:dyDescent="0.45">
      <c r="A195" s="9" t="s">
        <v>13</v>
      </c>
      <c r="B195" s="23">
        <v>3.2339066029211918</v>
      </c>
      <c r="C195" s="23">
        <v>2.8593712008343242</v>
      </c>
      <c r="D195" s="23">
        <v>2.7333661967903864</v>
      </c>
      <c r="E195" s="23">
        <v>2.7627942327397745</v>
      </c>
      <c r="F195" s="23">
        <v>3.0241637255502036</v>
      </c>
      <c r="G195" s="29">
        <v>2.9176762077518874</v>
      </c>
    </row>
    <row r="196" spans="1:7" x14ac:dyDescent="0.45">
      <c r="A196" s="9" t="s">
        <v>14</v>
      </c>
      <c r="B196" s="23">
        <v>2.1398967785396694</v>
      </c>
      <c r="C196" s="23">
        <v>1.8613320938560718</v>
      </c>
      <c r="D196" s="23">
        <v>2.5562350979766038</v>
      </c>
      <c r="E196" s="23">
        <v>2.7025190672597943</v>
      </c>
      <c r="F196" s="23">
        <v>2.860833814339736</v>
      </c>
      <c r="G196" s="29">
        <v>2.2347202591856306</v>
      </c>
    </row>
    <row r="197" spans="1:7" x14ac:dyDescent="0.45">
      <c r="A197" s="9" t="s">
        <v>15</v>
      </c>
      <c r="B197" s="23">
        <v>0.27924324346350404</v>
      </c>
      <c r="C197" s="23">
        <v>0.28000761183823136</v>
      </c>
      <c r="D197" s="23">
        <v>0.34443695212068237</v>
      </c>
      <c r="E197" s="23">
        <v>0.39141786088371683</v>
      </c>
      <c r="F197" s="23">
        <v>0.33103042142093553</v>
      </c>
      <c r="G197" s="29">
        <v>0.36868606483658301</v>
      </c>
    </row>
    <row r="198" spans="1:7" x14ac:dyDescent="0.45">
      <c r="A198" s="9" t="s">
        <v>16</v>
      </c>
      <c r="B198" s="23">
        <v>0.15307862041672654</v>
      </c>
      <c r="C198" s="23">
        <v>0.12753568290522105</v>
      </c>
      <c r="D198" s="23">
        <v>0.1682957307617606</v>
      </c>
      <c r="E198" s="23">
        <v>0.15381488421784745</v>
      </c>
      <c r="F198" s="23">
        <v>0.14634218161445472</v>
      </c>
      <c r="G198" s="29">
        <v>0.14475347738289351</v>
      </c>
    </row>
    <row r="199" spans="1:7" x14ac:dyDescent="0.45">
      <c r="A199" s="9" t="s">
        <v>17</v>
      </c>
      <c r="B199" s="23">
        <v>0.35680967548500692</v>
      </c>
      <c r="C199" s="23">
        <v>0.40209826703088425</v>
      </c>
      <c r="D199" s="23">
        <v>0.40249863577321965</v>
      </c>
      <c r="E199" s="23">
        <v>0.44729280616551692</v>
      </c>
      <c r="F199" s="23">
        <v>0.50223108125208993</v>
      </c>
      <c r="G199" s="29">
        <v>0.49721166629624475</v>
      </c>
    </row>
    <row r="200" spans="1:7" x14ac:dyDescent="0.45">
      <c r="A200" s="9" t="s">
        <v>18</v>
      </c>
      <c r="B200" s="23">
        <v>0.53347826254416786</v>
      </c>
      <c r="C200" s="23">
        <v>0.50113191299878435</v>
      </c>
      <c r="D200" s="23">
        <v>0.50947679246830457</v>
      </c>
      <c r="E200" s="23">
        <v>0.5155430696015223</v>
      </c>
      <c r="F200" s="23">
        <v>0.51931927044376025</v>
      </c>
      <c r="G200" s="29">
        <v>0.4860332627969472</v>
      </c>
    </row>
    <row r="201" spans="1:7" x14ac:dyDescent="0.45">
      <c r="A201" s="9" t="s">
        <v>19</v>
      </c>
      <c r="B201" s="23">
        <v>0.32785182949025371</v>
      </c>
      <c r="C201" s="23">
        <v>0.30435604179683518</v>
      </c>
      <c r="D201" s="23">
        <v>0.29744183748847858</v>
      </c>
      <c r="E201" s="23">
        <v>0.31631934424658437</v>
      </c>
      <c r="F201" s="23">
        <v>0.25878192148485274</v>
      </c>
      <c r="G201" s="29">
        <v>0.24478824383491149</v>
      </c>
    </row>
    <row r="202" spans="1:7" x14ac:dyDescent="0.45">
      <c r="A202" s="9" t="s">
        <v>20</v>
      </c>
      <c r="B202" s="23">
        <v>1.0278468414498358E-2</v>
      </c>
      <c r="C202" s="23">
        <v>9.6309648390246715E-3</v>
      </c>
      <c r="D202" s="23">
        <v>1.7848543300171972E-2</v>
      </c>
      <c r="E202" s="23">
        <v>2.0983339540168646E-2</v>
      </c>
      <c r="F202" s="23">
        <v>2.081233524495513E-2</v>
      </c>
      <c r="G202" s="29">
        <v>1.8365916131094111E-2</v>
      </c>
    </row>
    <row r="203" spans="1:7" x14ac:dyDescent="0.45">
      <c r="A203" s="9" t="s">
        <v>21</v>
      </c>
      <c r="B203" s="23">
        <v>0.26102604979183919</v>
      </c>
      <c r="C203" s="23">
        <v>0.24125801509030639</v>
      </c>
      <c r="D203" s="23">
        <v>0.29045981743247012</v>
      </c>
      <c r="E203" s="23">
        <v>0.26974547215177969</v>
      </c>
      <c r="F203" s="23">
        <v>0.25543610917409976</v>
      </c>
      <c r="G203" s="29">
        <v>0.25348086995770019</v>
      </c>
    </row>
    <row r="204" spans="1:7" x14ac:dyDescent="0.45">
      <c r="A204" s="9" t="s">
        <v>22</v>
      </c>
      <c r="B204" s="23">
        <v>0.11034825879006917</v>
      </c>
      <c r="C204" s="23">
        <v>6.5949361340335189E-2</v>
      </c>
      <c r="D204" s="23">
        <v>0.10439711462819463</v>
      </c>
      <c r="E204" s="23">
        <v>0.10582097420786607</v>
      </c>
      <c r="F204" s="23">
        <v>0.1102283274391148</v>
      </c>
      <c r="G204" s="29">
        <v>0.10103802249183402</v>
      </c>
    </row>
    <row r="205" spans="1:7" x14ac:dyDescent="0.45">
      <c r="A205" s="9" t="s">
        <v>23</v>
      </c>
      <c r="B205" s="23">
        <v>0.56276309387154566</v>
      </c>
      <c r="C205" s="23">
        <v>0.40084037273917067</v>
      </c>
      <c r="D205" s="23">
        <v>0.42303031841452898</v>
      </c>
      <c r="E205" s="23">
        <v>0.44979632831753563</v>
      </c>
      <c r="F205" s="23">
        <v>0.38673197472650084</v>
      </c>
      <c r="G205" s="29">
        <v>0.42403734916593916</v>
      </c>
    </row>
    <row r="206" spans="1:7" x14ac:dyDescent="0.45">
      <c r="A206" s="9" t="s">
        <v>24</v>
      </c>
      <c r="B206" s="23">
        <v>0.48474653195828149</v>
      </c>
      <c r="C206" s="23">
        <v>0.52568383313279465</v>
      </c>
      <c r="D206" s="23">
        <v>0.80606736057657913</v>
      </c>
      <c r="E206" s="23">
        <v>0.7246303064298919</v>
      </c>
      <c r="F206" s="23">
        <v>0.89977172726283683</v>
      </c>
      <c r="G206" s="29">
        <v>0.83184540788042094</v>
      </c>
    </row>
    <row r="207" spans="1:7" x14ac:dyDescent="0.45">
      <c r="A207" s="9" t="s">
        <v>25</v>
      </c>
      <c r="B207" s="23">
        <v>0.21883644127829574</v>
      </c>
      <c r="C207" s="23">
        <v>0.21474886143099206</v>
      </c>
      <c r="D207" s="23">
        <v>0.2186902992720739</v>
      </c>
      <c r="E207" s="23">
        <v>0.2008541692279272</v>
      </c>
      <c r="F207" s="23">
        <v>0.20166394686793651</v>
      </c>
      <c r="G207" s="29">
        <v>0.21353365244046693</v>
      </c>
    </row>
    <row r="208" spans="1:7" x14ac:dyDescent="0.45">
      <c r="A208" s="9" t="s">
        <v>26</v>
      </c>
      <c r="B208" s="23">
        <v>5.174000782902878</v>
      </c>
      <c r="C208" s="23">
        <v>4.595074808475923</v>
      </c>
      <c r="D208" s="23">
        <v>4.2721466611300603</v>
      </c>
      <c r="E208" s="23">
        <v>4.5566333425727832</v>
      </c>
      <c r="F208" s="23">
        <v>4.3833327461228828</v>
      </c>
      <c r="G208" s="29">
        <v>4.4683164513368663</v>
      </c>
    </row>
    <row r="209" spans="1:7" x14ac:dyDescent="0.45">
      <c r="A209" s="9" t="s">
        <v>27</v>
      </c>
      <c r="B209" s="23">
        <v>17.418764121774949</v>
      </c>
      <c r="C209" s="23">
        <v>17.125506093754449</v>
      </c>
      <c r="D209" s="23">
        <v>16.578434877373088</v>
      </c>
      <c r="E209" s="23">
        <v>17.117630473386804</v>
      </c>
      <c r="F209" s="23">
        <v>17.233404532658199</v>
      </c>
      <c r="G209" s="29">
        <v>18.643681674739788</v>
      </c>
    </row>
    <row r="210" spans="1:7" x14ac:dyDescent="0.45">
      <c r="A210" s="9" t="s">
        <v>28</v>
      </c>
      <c r="B210" s="23">
        <v>0.99681074071921849</v>
      </c>
      <c r="C210" s="23">
        <v>0.90237465295891628</v>
      </c>
      <c r="D210" s="23">
        <v>0.67791114611591485</v>
      </c>
      <c r="E210" s="23">
        <v>0.73234434484085842</v>
      </c>
      <c r="F210" s="23">
        <v>0.75361857648330399</v>
      </c>
      <c r="G210" s="29">
        <v>0.71476665640816051</v>
      </c>
    </row>
    <row r="211" spans="1:7" x14ac:dyDescent="0.45">
      <c r="A211" s="9" t="s">
        <v>29</v>
      </c>
      <c r="B211" s="23">
        <v>0</v>
      </c>
      <c r="C211" s="23">
        <v>0</v>
      </c>
      <c r="D211" s="23">
        <v>0</v>
      </c>
      <c r="E211" s="23">
        <v>0</v>
      </c>
      <c r="F211" s="23">
        <v>0</v>
      </c>
      <c r="G211" s="29">
        <v>0</v>
      </c>
    </row>
    <row r="212" spans="1:7" x14ac:dyDescent="0.45">
      <c r="A212" s="9" t="s">
        <v>30</v>
      </c>
      <c r="B212" s="23">
        <v>1.5512452410182109</v>
      </c>
      <c r="C212" s="23">
        <v>0.86303394412521572</v>
      </c>
      <c r="D212" s="23">
        <v>0.75920411350166606</v>
      </c>
      <c r="E212" s="23">
        <v>0.71414985559418942</v>
      </c>
      <c r="F212" s="23">
        <v>0.59825807725476543</v>
      </c>
      <c r="G212" s="29">
        <v>0.80830405271900363</v>
      </c>
    </row>
    <row r="213" spans="1:7" x14ac:dyDescent="0.45">
      <c r="A213" s="9" t="s">
        <v>31</v>
      </c>
      <c r="B213" s="23">
        <v>1.7479032104962097E-4</v>
      </c>
      <c r="C213" s="23">
        <v>1.6836563819366918E-4</v>
      </c>
      <c r="D213" s="23">
        <v>1.5198383311085945E-4</v>
      </c>
      <c r="E213" s="23">
        <v>1.5796868104338516E-4</v>
      </c>
      <c r="F213" s="23">
        <v>1.6834083544678879E-4</v>
      </c>
      <c r="G213" s="29">
        <v>2.6619745437134049E-4</v>
      </c>
    </row>
    <row r="214" spans="1:7" x14ac:dyDescent="0.45">
      <c r="A214" s="9" t="s">
        <v>32</v>
      </c>
      <c r="B214" s="23">
        <v>7.2668422144188324E-2</v>
      </c>
      <c r="C214" s="23">
        <v>5.7749777639522541E-2</v>
      </c>
      <c r="D214" s="23">
        <v>5.4577010242486297E-2</v>
      </c>
      <c r="E214" s="23">
        <v>5.6583415806006676E-2</v>
      </c>
      <c r="F214" s="23">
        <v>5.6622954921859529E-2</v>
      </c>
      <c r="G214" s="29">
        <v>6.2494910959492188E-2</v>
      </c>
    </row>
    <row r="215" spans="1:7" x14ac:dyDescent="0.45">
      <c r="A215" s="9" t="s">
        <v>33</v>
      </c>
      <c r="B215" s="23">
        <v>0.10886858711556185</v>
      </c>
      <c r="C215" s="23">
        <v>4.7774721728117642E-2</v>
      </c>
      <c r="D215" s="23">
        <v>6.0452723407538649E-2</v>
      </c>
      <c r="E215" s="23">
        <v>6.5806552594976156E-2</v>
      </c>
      <c r="F215" s="23">
        <v>6.4807654064827025E-2</v>
      </c>
      <c r="G215" s="29">
        <v>7.1030267246505407E-2</v>
      </c>
    </row>
    <row r="216" spans="1:7" x14ac:dyDescent="0.45">
      <c r="A216" s="9" t="s">
        <v>34</v>
      </c>
      <c r="B216" s="23">
        <v>0.15692496051284088</v>
      </c>
      <c r="C216" s="23">
        <v>2.826027568501472E-2</v>
      </c>
      <c r="D216" s="23">
        <v>2.4350216054638267E-2</v>
      </c>
      <c r="E216" s="23">
        <v>2.5641559650270991E-2</v>
      </c>
      <c r="F216" s="23">
        <v>2.803539158774063E-2</v>
      </c>
      <c r="G216" s="29">
        <v>2.7347329823590109E-2</v>
      </c>
    </row>
    <row r="217" spans="1:7" x14ac:dyDescent="0.45">
      <c r="A217" s="9" t="s">
        <v>35</v>
      </c>
      <c r="B217" s="23">
        <v>2.1664653122709404E-2</v>
      </c>
      <c r="C217" s="23">
        <v>2.7544715872591198E-2</v>
      </c>
      <c r="D217" s="23">
        <v>4.4141642306375753E-2</v>
      </c>
      <c r="E217" s="23">
        <v>5.7320822347351377E-2</v>
      </c>
      <c r="F217" s="23">
        <v>7.0153141347477008E-2</v>
      </c>
      <c r="G217" s="29">
        <v>6.7545105891343118E-2</v>
      </c>
    </row>
    <row r="218" spans="1:7" x14ac:dyDescent="0.45">
      <c r="A218" s="9" t="s">
        <v>36</v>
      </c>
      <c r="B218" s="23">
        <v>0</v>
      </c>
      <c r="C218" s="23">
        <v>0</v>
      </c>
      <c r="D218" s="23">
        <v>0</v>
      </c>
      <c r="E218" s="23">
        <v>0</v>
      </c>
      <c r="F218" s="23">
        <v>0</v>
      </c>
      <c r="G218" s="29">
        <v>0</v>
      </c>
    </row>
    <row r="219" spans="1:7" x14ac:dyDescent="0.45">
      <c r="A219" s="9" t="s">
        <v>37</v>
      </c>
      <c r="B219" s="23">
        <v>6.7792272922941406</v>
      </c>
      <c r="C219" s="23">
        <v>7.9606975655710803</v>
      </c>
      <c r="D219" s="23">
        <v>7.7765175733565313</v>
      </c>
      <c r="E219" s="23">
        <v>7.6802187679435656</v>
      </c>
      <c r="F219" s="23">
        <v>7.6382717328364356</v>
      </c>
      <c r="G219" s="29">
        <v>6.9853686903018435</v>
      </c>
    </row>
    <row r="220" spans="1:7" x14ac:dyDescent="0.45">
      <c r="A220" s="9" t="s">
        <v>38</v>
      </c>
      <c r="B220" s="23">
        <v>2.3153767017243497E-2</v>
      </c>
      <c r="C220" s="23">
        <v>1.9498411027572153E-2</v>
      </c>
      <c r="D220" s="23">
        <v>1.7048989898448091E-2</v>
      </c>
      <c r="E220" s="23">
        <v>1.4996916839821415E-2</v>
      </c>
      <c r="F220" s="23">
        <v>1.9602110880337111E-2</v>
      </c>
      <c r="G220" s="29">
        <v>1.4753586495235806E-2</v>
      </c>
    </row>
    <row r="221" spans="1:7" x14ac:dyDescent="0.45">
      <c r="A221" s="9" t="s">
        <v>39</v>
      </c>
      <c r="B221" s="23">
        <v>0.6480460481824758</v>
      </c>
      <c r="C221" s="23">
        <v>0.61189138238573415</v>
      </c>
      <c r="D221" s="23">
        <v>0.69823259681067074</v>
      </c>
      <c r="E221" s="23">
        <v>0.67437355545852273</v>
      </c>
      <c r="F221" s="23">
        <v>0.65648079079614952</v>
      </c>
      <c r="G221" s="29">
        <v>0.740542802858844</v>
      </c>
    </row>
    <row r="222" spans="1:7" x14ac:dyDescent="0.45">
      <c r="A222" s="9" t="s">
        <v>40</v>
      </c>
      <c r="B222" s="23">
        <v>1.087212701603026</v>
      </c>
      <c r="C222" s="23">
        <v>1.244187765224821</v>
      </c>
      <c r="D222" s="23">
        <v>1.119895750737173</v>
      </c>
      <c r="E222" s="23">
        <v>1.0571987777452643</v>
      </c>
      <c r="F222" s="23">
        <v>1.0405383709664964</v>
      </c>
      <c r="G222" s="29">
        <v>1.1429418142593377</v>
      </c>
    </row>
    <row r="223" spans="1:7" x14ac:dyDescent="0.45">
      <c r="A223" s="9" t="s">
        <v>41</v>
      </c>
      <c r="B223" s="23">
        <v>0.57359394160468924</v>
      </c>
      <c r="C223" s="23">
        <v>0.4089281426683769</v>
      </c>
      <c r="D223" s="23">
        <v>0.38508714478660366</v>
      </c>
      <c r="E223" s="23">
        <v>0.43830916518322338</v>
      </c>
      <c r="F223" s="23">
        <v>0.45053453057380338</v>
      </c>
      <c r="G223" s="29">
        <v>0.49044678223934313</v>
      </c>
    </row>
    <row r="224" spans="1:7" x14ac:dyDescent="0.45">
      <c r="A224" s="9" t="s">
        <v>42</v>
      </c>
      <c r="B224" s="23">
        <v>0</v>
      </c>
      <c r="C224" s="23">
        <v>0</v>
      </c>
      <c r="D224" s="23">
        <v>0</v>
      </c>
      <c r="E224" s="23">
        <v>0</v>
      </c>
      <c r="F224" s="23">
        <v>0</v>
      </c>
      <c r="G224" s="29">
        <v>0</v>
      </c>
    </row>
    <row r="225" spans="1:8" x14ac:dyDescent="0.45">
      <c r="A225" s="9" t="s">
        <v>43</v>
      </c>
      <c r="B225" s="23">
        <v>2.175504969391536</v>
      </c>
      <c r="C225" s="23">
        <v>2.4549777694104664</v>
      </c>
      <c r="D225" s="23">
        <v>2.3558025761045904</v>
      </c>
      <c r="E225" s="23">
        <v>2.2551152320763457</v>
      </c>
      <c r="F225" s="23">
        <v>2.2022796627181194</v>
      </c>
      <c r="G225" s="29">
        <v>2.4934516196930083</v>
      </c>
    </row>
    <row r="226" spans="1:8" x14ac:dyDescent="0.45">
      <c r="A226" s="9" t="s">
        <v>44</v>
      </c>
      <c r="B226" s="23">
        <v>0.29786574606795657</v>
      </c>
      <c r="C226" s="23">
        <v>0.2172565377398632</v>
      </c>
      <c r="D226" s="23">
        <v>0.29127719717916944</v>
      </c>
      <c r="E226" s="23">
        <v>0.29237337029932836</v>
      </c>
      <c r="F226" s="23">
        <v>0.29126874954104653</v>
      </c>
      <c r="G226" s="29">
        <v>0.32268010869543179</v>
      </c>
    </row>
    <row r="227" spans="1:8" x14ac:dyDescent="0.45">
      <c r="A227" s="9" t="s">
        <v>45</v>
      </c>
      <c r="B227" s="23">
        <v>10.77565300186583</v>
      </c>
      <c r="C227" s="23">
        <v>10.265496792118642</v>
      </c>
      <c r="D227" s="23">
        <v>10.791088094414196</v>
      </c>
      <c r="E227" s="23">
        <v>10.267515374743157</v>
      </c>
      <c r="F227" s="23">
        <v>10.151912039783344</v>
      </c>
      <c r="G227" s="29">
        <v>11.317750586478436</v>
      </c>
    </row>
    <row r="228" spans="1:8" x14ac:dyDescent="0.45">
      <c r="A228" s="9" t="s">
        <v>46</v>
      </c>
      <c r="B228" s="23">
        <v>2.7823951835435885</v>
      </c>
      <c r="C228" s="23">
        <v>2.7034213049571028</v>
      </c>
      <c r="D228" s="23">
        <v>2.75541389460657</v>
      </c>
      <c r="E228" s="23">
        <v>2.7296048905279058</v>
      </c>
      <c r="F228" s="23">
        <v>2.7205744548474438</v>
      </c>
      <c r="G228" s="29">
        <v>2.9874181840357261</v>
      </c>
    </row>
    <row r="229" spans="1:8" x14ac:dyDescent="0.45">
      <c r="A229" s="9" t="s">
        <v>47</v>
      </c>
      <c r="B229" s="23">
        <v>0.49181885428026967</v>
      </c>
      <c r="C229" s="23">
        <v>0.44080556641822799</v>
      </c>
      <c r="D229" s="23">
        <v>0.70844154838910134</v>
      </c>
      <c r="E229" s="23">
        <v>0.91166541039076487</v>
      </c>
      <c r="F229" s="23">
        <v>1.0844639050113425</v>
      </c>
      <c r="G229" s="29">
        <v>1.3154877532463096</v>
      </c>
    </row>
    <row r="230" spans="1:8" x14ac:dyDescent="0.45">
      <c r="A230" s="9" t="s">
        <v>48</v>
      </c>
      <c r="B230" s="23">
        <v>2.4428709322018296</v>
      </c>
      <c r="C230" s="23">
        <v>2.3612537671925447</v>
      </c>
      <c r="D230" s="23">
        <v>2.3648038594197929</v>
      </c>
      <c r="E230" s="23">
        <v>2.5186535994700465</v>
      </c>
      <c r="F230" s="23">
        <v>2.7623384550700161</v>
      </c>
      <c r="G230" s="29">
        <v>2.7379703979205701</v>
      </c>
    </row>
    <row r="231" spans="1:8" x14ac:dyDescent="0.45">
      <c r="A231" s="9" t="s">
        <v>49</v>
      </c>
      <c r="B231" s="23">
        <v>1.4910380523500133</v>
      </c>
      <c r="C231" s="23">
        <v>1.3953972241637487</v>
      </c>
      <c r="D231" s="23">
        <v>1.0647417083407158</v>
      </c>
      <c r="E231" s="23">
        <v>0.96236791338830185</v>
      </c>
      <c r="F231" s="23">
        <v>0.89687111364120509</v>
      </c>
      <c r="G231" s="29">
        <v>0.89569615594488161</v>
      </c>
    </row>
    <row r="232" spans="1:8" x14ac:dyDescent="0.45">
      <c r="A232" s="9" t="s">
        <v>50</v>
      </c>
      <c r="B232" s="23">
        <v>1.4613765603177213</v>
      </c>
      <c r="C232" s="23">
        <v>1.6873439465494671</v>
      </c>
      <c r="D232" s="23">
        <v>1.5634395097967613</v>
      </c>
      <c r="E232" s="23">
        <v>1.4968323966901427</v>
      </c>
      <c r="F232" s="23">
        <v>1.5821895815775695</v>
      </c>
      <c r="G232" s="29">
        <v>1.5495050820356968</v>
      </c>
    </row>
    <row r="233" spans="1:8" x14ac:dyDescent="0.45">
      <c r="A233" s="9" t="s">
        <v>51</v>
      </c>
      <c r="B233" s="23">
        <v>1.7334240019048996</v>
      </c>
      <c r="C233" s="23">
        <v>2.0405736894808881</v>
      </c>
      <c r="D233" s="23">
        <v>1.7625946798473358</v>
      </c>
      <c r="E233" s="23">
        <v>1.6775581121877916</v>
      </c>
      <c r="F233" s="23">
        <v>1.5352741124362019</v>
      </c>
      <c r="G233" s="29">
        <v>1.5489519935162777</v>
      </c>
    </row>
    <row r="235" spans="1:8" x14ac:dyDescent="0.45">
      <c r="A235" s="27" t="s">
        <v>75</v>
      </c>
      <c r="B235" s="18">
        <v>100</v>
      </c>
      <c r="C235" s="18">
        <v>99.999999999999986</v>
      </c>
      <c r="D235" s="18">
        <v>100.00000000000001</v>
      </c>
      <c r="E235" s="18">
        <v>99.999999999999943</v>
      </c>
      <c r="F235" s="18">
        <v>99.999999999999986</v>
      </c>
      <c r="G235" s="45">
        <v>100</v>
      </c>
    </row>
    <row r="238" spans="1:8" s="1" customFormat="1" x14ac:dyDescent="0.45">
      <c r="A238" s="13" t="s">
        <v>72</v>
      </c>
      <c r="B238" s="26" t="s">
        <v>53</v>
      </c>
      <c r="C238" s="26">
        <v>2020</v>
      </c>
      <c r="D238" s="26" t="s">
        <v>54</v>
      </c>
      <c r="E238" s="26">
        <v>2022</v>
      </c>
      <c r="F238" s="26">
        <v>2023</v>
      </c>
      <c r="G238" s="26">
        <v>2024</v>
      </c>
      <c r="H238" s="19"/>
    </row>
    <row r="240" spans="1:8" x14ac:dyDescent="0.45">
      <c r="A240" s="9" t="s">
        <v>0</v>
      </c>
      <c r="B240" s="18"/>
      <c r="C240" s="18"/>
      <c r="D240" s="18"/>
      <c r="E240" s="18"/>
      <c r="F240" s="18"/>
      <c r="G240" s="18"/>
    </row>
    <row r="241" spans="1:7" x14ac:dyDescent="0.45">
      <c r="A241" s="9" t="s">
        <v>1</v>
      </c>
      <c r="B241" s="23">
        <v>17.580741724995079</v>
      </c>
      <c r="C241" s="23">
        <v>19.589843075718424</v>
      </c>
      <c r="D241" s="23">
        <v>20.213130250811975</v>
      </c>
      <c r="E241" s="23">
        <v>19.778489527036918</v>
      </c>
      <c r="F241" s="23">
        <v>19.955216759661802</v>
      </c>
      <c r="G241" s="29">
        <v>19.864852639659052</v>
      </c>
    </row>
    <row r="242" spans="1:7" x14ac:dyDescent="0.45">
      <c r="A242" s="9" t="s">
        <v>2</v>
      </c>
      <c r="B242" s="23">
        <v>5.7555556249446509</v>
      </c>
      <c r="C242" s="23">
        <v>6.2296441481481262</v>
      </c>
      <c r="D242" s="23">
        <v>6.3795080527398449</v>
      </c>
      <c r="E242" s="23">
        <v>6.2827321004330621</v>
      </c>
      <c r="F242" s="23">
        <v>5.9187405050709696</v>
      </c>
      <c r="G242" s="29">
        <v>5.6025628773142584</v>
      </c>
    </row>
    <row r="243" spans="1:7" x14ac:dyDescent="0.45">
      <c r="A243" s="9" t="s">
        <v>3</v>
      </c>
      <c r="B243" s="23">
        <v>1.3188753982815915</v>
      </c>
      <c r="C243" s="23">
        <v>1.4488145389629539</v>
      </c>
      <c r="D243" s="23">
        <v>1.4808804588668139</v>
      </c>
      <c r="E243" s="23">
        <v>1.5059660659475027</v>
      </c>
      <c r="F243" s="23">
        <v>1.1988123342863306</v>
      </c>
      <c r="G243" s="29">
        <v>1.1889200454470337</v>
      </c>
    </row>
    <row r="244" spans="1:7" x14ac:dyDescent="0.45">
      <c r="A244" s="9" t="s">
        <v>4</v>
      </c>
      <c r="B244" s="23">
        <v>1.173761168605256</v>
      </c>
      <c r="C244" s="23">
        <v>1.2284738078894357</v>
      </c>
      <c r="D244" s="23">
        <v>1.2228387760418677</v>
      </c>
      <c r="E244" s="23">
        <v>1.2075001433931252</v>
      </c>
      <c r="F244" s="23">
        <v>1.1981893330677873</v>
      </c>
      <c r="G244" s="29">
        <v>1.1519375691451827</v>
      </c>
    </row>
    <row r="245" spans="1:7" x14ac:dyDescent="0.45">
      <c r="A245" s="9" t="s">
        <v>5</v>
      </c>
      <c r="B245" s="21"/>
      <c r="C245" s="21"/>
      <c r="D245" s="21"/>
      <c r="E245" s="21"/>
      <c r="F245" s="21"/>
      <c r="G245" s="21"/>
    </row>
    <row r="246" spans="1:7" x14ac:dyDescent="0.45">
      <c r="A246" s="9" t="s">
        <v>6</v>
      </c>
      <c r="B246" s="23">
        <v>5.8491809584696348</v>
      </c>
      <c r="C246" s="23">
        <v>4.5268574899006317</v>
      </c>
      <c r="D246" s="23">
        <v>2.7332452037247741</v>
      </c>
      <c r="E246" s="23">
        <v>3.2691113457714764</v>
      </c>
      <c r="F246" s="23">
        <v>3.3136705242092566</v>
      </c>
      <c r="G246" s="29">
        <v>3.3827313109096075</v>
      </c>
    </row>
    <row r="247" spans="1:7" x14ac:dyDescent="0.45">
      <c r="A247" s="9" t="s">
        <v>7</v>
      </c>
      <c r="B247" s="23">
        <v>1.1166953100165754E-2</v>
      </c>
      <c r="C247" s="23">
        <v>6.5273576726411009E-3</v>
      </c>
      <c r="D247" s="23">
        <v>6.3359507336957516E-3</v>
      </c>
      <c r="E247" s="23">
        <v>5.8207371597692806E-3</v>
      </c>
      <c r="F247" s="23">
        <v>5.5072033173000018E-3</v>
      </c>
      <c r="G247" s="29">
        <v>4.7631250368544197E-3</v>
      </c>
    </row>
    <row r="248" spans="1:7" x14ac:dyDescent="0.45">
      <c r="A248" s="9" t="s">
        <v>8</v>
      </c>
      <c r="B248" s="23">
        <v>1.9149784434942061E-2</v>
      </c>
      <c r="C248" s="23">
        <v>4.5075576242958985E-3</v>
      </c>
      <c r="D248" s="23">
        <v>2.36801689538223E-2</v>
      </c>
      <c r="E248" s="23">
        <v>3.0717764936232954E-2</v>
      </c>
      <c r="F248" s="23">
        <v>4.3465251923871184E-2</v>
      </c>
      <c r="G248" s="29">
        <v>7.3674497917361123E-2</v>
      </c>
    </row>
    <row r="249" spans="1:7" x14ac:dyDescent="0.45">
      <c r="A249" s="9" t="s">
        <v>9</v>
      </c>
      <c r="B249" s="23">
        <v>0.18989445073165548</v>
      </c>
      <c r="C249" s="23">
        <v>0.14606583641596926</v>
      </c>
      <c r="D249" s="23">
        <v>0.14354226603075948</v>
      </c>
      <c r="E249" s="23">
        <v>0.14150674029665078</v>
      </c>
      <c r="F249" s="23">
        <v>0.12453367383440386</v>
      </c>
      <c r="G249" s="29">
        <v>8.8214540714710785E-2</v>
      </c>
    </row>
    <row r="250" spans="1:7" x14ac:dyDescent="0.45">
      <c r="A250" s="9" t="s">
        <v>10</v>
      </c>
      <c r="B250" s="23">
        <v>0</v>
      </c>
      <c r="C250" s="23">
        <v>0</v>
      </c>
      <c r="D250" s="23">
        <v>0</v>
      </c>
      <c r="E250" s="23">
        <v>0</v>
      </c>
      <c r="F250" s="23">
        <v>0</v>
      </c>
      <c r="G250" s="29">
        <v>0</v>
      </c>
    </row>
    <row r="251" spans="1:7" x14ac:dyDescent="0.45">
      <c r="A251" s="9" t="s">
        <v>11</v>
      </c>
      <c r="B251" s="23">
        <v>6.8846206383711098E-2</v>
      </c>
      <c r="C251" s="23">
        <v>2.530514492975678E-2</v>
      </c>
      <c r="D251" s="23">
        <v>1.3834859096592083E-2</v>
      </c>
      <c r="E251" s="23">
        <v>7.9609430939993377E-3</v>
      </c>
      <c r="F251" s="23">
        <v>5.6188566521163082E-3</v>
      </c>
      <c r="G251" s="29">
        <v>4.6379155678278813E-3</v>
      </c>
    </row>
    <row r="252" spans="1:7" x14ac:dyDescent="0.45">
      <c r="A252" s="9" t="s">
        <v>12</v>
      </c>
      <c r="B252" s="23">
        <v>1.096260520831444</v>
      </c>
      <c r="C252" s="23">
        <v>1.0695649362910165</v>
      </c>
      <c r="D252" s="23">
        <v>1.0933175732603202</v>
      </c>
      <c r="E252" s="23">
        <v>1.1285792930032479</v>
      </c>
      <c r="F252" s="23">
        <v>1.1165878036177921</v>
      </c>
      <c r="G252" s="29">
        <v>1.1056952699214715</v>
      </c>
    </row>
    <row r="253" spans="1:7" x14ac:dyDescent="0.45">
      <c r="A253" s="9" t="s">
        <v>13</v>
      </c>
      <c r="B253" s="23">
        <v>3.2339066029211918</v>
      </c>
      <c r="C253" s="23">
        <v>2.7387156913478674</v>
      </c>
      <c r="D253" s="23">
        <v>2.7328486571576511</v>
      </c>
      <c r="E253" s="23">
        <v>2.825486759644348</v>
      </c>
      <c r="F253" s="23">
        <v>2.9199050804257913</v>
      </c>
      <c r="G253" s="29">
        <v>2.8950507802277521</v>
      </c>
    </row>
    <row r="254" spans="1:7" x14ac:dyDescent="0.45">
      <c r="A254" s="9" t="s">
        <v>14</v>
      </c>
      <c r="B254" s="23">
        <v>2.1398967785396694</v>
      </c>
      <c r="C254" s="23">
        <v>1.8717892522488022</v>
      </c>
      <c r="D254" s="23">
        <v>2.0549491503108008</v>
      </c>
      <c r="E254" s="23">
        <v>2.1189713581375922</v>
      </c>
      <c r="F254" s="23">
        <v>2.2042450492548009</v>
      </c>
      <c r="G254" s="29">
        <v>2.0983940349509957</v>
      </c>
    </row>
    <row r="255" spans="1:7" x14ac:dyDescent="0.45">
      <c r="A255" s="9" t="s">
        <v>15</v>
      </c>
      <c r="B255" s="23">
        <v>0.27924324346350404</v>
      </c>
      <c r="C255" s="23">
        <v>0.29133071161786184</v>
      </c>
      <c r="D255" s="23">
        <v>0.35936121958547079</v>
      </c>
      <c r="E255" s="23">
        <v>0.38639351370286945</v>
      </c>
      <c r="F255" s="23">
        <v>0.30575223513830696</v>
      </c>
      <c r="G255" s="29">
        <v>0.3014876711889849</v>
      </c>
    </row>
    <row r="256" spans="1:7" x14ac:dyDescent="0.45">
      <c r="A256" s="9" t="s">
        <v>16</v>
      </c>
      <c r="B256" s="23">
        <v>0.15307862041672654</v>
      </c>
      <c r="C256" s="23">
        <v>0.13300561202238004</v>
      </c>
      <c r="D256" s="23">
        <v>0.17595597088225765</v>
      </c>
      <c r="E256" s="23">
        <v>0.15211930068613558</v>
      </c>
      <c r="F256" s="23">
        <v>0.13538548156774205</v>
      </c>
      <c r="G256" s="29">
        <v>0.13106690649144923</v>
      </c>
    </row>
    <row r="257" spans="1:7" x14ac:dyDescent="0.45">
      <c r="A257" s="9" t="s">
        <v>17</v>
      </c>
      <c r="B257" s="23">
        <v>0.35680967548500692</v>
      </c>
      <c r="C257" s="23">
        <v>0.38450307900306807</v>
      </c>
      <c r="D257" s="23">
        <v>0.38941767262954496</v>
      </c>
      <c r="E257" s="23">
        <v>0.4131763484782191</v>
      </c>
      <c r="F257" s="23">
        <v>0.44011275297984848</v>
      </c>
      <c r="G257" s="29">
        <v>0.44160486416855022</v>
      </c>
    </row>
    <row r="258" spans="1:7" x14ac:dyDescent="0.45">
      <c r="A258" s="9" t="s">
        <v>18</v>
      </c>
      <c r="B258" s="23">
        <v>0.53347826254416786</v>
      </c>
      <c r="C258" s="23">
        <v>0.41580852190932233</v>
      </c>
      <c r="D258" s="23">
        <v>0.43355349772704482</v>
      </c>
      <c r="E258" s="23">
        <v>0.42479190770546482</v>
      </c>
      <c r="F258" s="23">
        <v>0.40849128891563435</v>
      </c>
      <c r="G258" s="29">
        <v>0.40288861980515411</v>
      </c>
    </row>
    <row r="259" spans="1:7" x14ac:dyDescent="0.45">
      <c r="A259" s="9" t="s">
        <v>19</v>
      </c>
      <c r="B259" s="23">
        <v>0.32785182949025371</v>
      </c>
      <c r="C259" s="23">
        <v>0.31457422117289324</v>
      </c>
      <c r="D259" s="23">
        <v>0.31905830625345483</v>
      </c>
      <c r="E259" s="23">
        <v>0.31064957050242531</v>
      </c>
      <c r="F259" s="23">
        <v>0.25590130010509538</v>
      </c>
      <c r="G259" s="29">
        <v>0.24795954331714481</v>
      </c>
    </row>
    <row r="260" spans="1:7" x14ac:dyDescent="0.45">
      <c r="A260" s="9" t="s">
        <v>20</v>
      </c>
      <c r="B260" s="23">
        <v>1.0278468414498358E-2</v>
      </c>
      <c r="C260" s="23">
        <v>6.1096725184556664E-3</v>
      </c>
      <c r="D260" s="23">
        <v>7.1821415575487272E-3</v>
      </c>
      <c r="E260" s="23">
        <v>8.6202525162661168E-3</v>
      </c>
      <c r="F260" s="23">
        <v>8.9642824119607056E-3</v>
      </c>
      <c r="G260" s="29">
        <v>8.7810891653128335E-3</v>
      </c>
    </row>
    <row r="261" spans="1:7" x14ac:dyDescent="0.45">
      <c r="A261" s="9" t="s">
        <v>21</v>
      </c>
      <c r="B261" s="23">
        <v>0.26102604979183919</v>
      </c>
      <c r="C261" s="23">
        <v>0.21854048554135375</v>
      </c>
      <c r="D261" s="23">
        <v>0.26764456537348885</v>
      </c>
      <c r="E261" s="23">
        <v>0.23862699387693925</v>
      </c>
      <c r="F261" s="23">
        <v>0.2141020878886562</v>
      </c>
      <c r="G261" s="29">
        <v>0.20837422593743982</v>
      </c>
    </row>
    <row r="262" spans="1:7" x14ac:dyDescent="0.45">
      <c r="A262" s="9" t="s">
        <v>22</v>
      </c>
      <c r="B262" s="23">
        <v>0.11034825879006915</v>
      </c>
      <c r="C262" s="23">
        <v>3.9470855422048666E-2</v>
      </c>
      <c r="D262" s="23">
        <v>6.5722649076768502E-2</v>
      </c>
      <c r="E262" s="23">
        <v>6.6286693395404397E-2</v>
      </c>
      <c r="F262" s="23">
        <v>6.7575150216495392E-2</v>
      </c>
      <c r="G262" s="29">
        <v>6.6927413170351668E-2</v>
      </c>
    </row>
    <row r="263" spans="1:7" x14ac:dyDescent="0.45">
      <c r="A263" s="9" t="s">
        <v>23</v>
      </c>
      <c r="B263" s="23">
        <v>0.56276309387154566</v>
      </c>
      <c r="C263" s="23">
        <v>0.35315572552849045</v>
      </c>
      <c r="D263" s="23">
        <v>0.38014013773393529</v>
      </c>
      <c r="E263" s="23">
        <v>0.3891139682230414</v>
      </c>
      <c r="F263" s="23">
        <v>0.33697377843084136</v>
      </c>
      <c r="G263" s="29">
        <v>0.32887523379507011</v>
      </c>
    </row>
    <row r="264" spans="1:7" x14ac:dyDescent="0.45">
      <c r="A264" s="9" t="s">
        <v>24</v>
      </c>
      <c r="B264" s="23">
        <v>0.48474653195828149</v>
      </c>
      <c r="C264" s="23">
        <v>0.44480422484439702</v>
      </c>
      <c r="D264" s="23">
        <v>0.69827064372651282</v>
      </c>
      <c r="E264" s="23">
        <v>0.60667553594732015</v>
      </c>
      <c r="F264" s="23">
        <v>0.71795036983498572</v>
      </c>
      <c r="G264" s="29">
        <v>0.69838646460480525</v>
      </c>
    </row>
    <row r="265" spans="1:7" x14ac:dyDescent="0.45">
      <c r="A265" s="9" t="s">
        <v>25</v>
      </c>
      <c r="B265" s="23">
        <v>0.21883644127829574</v>
      </c>
      <c r="C265" s="23">
        <v>0.2130481235349693</v>
      </c>
      <c r="D265" s="23">
        <v>0.23557920102166</v>
      </c>
      <c r="E265" s="23">
        <v>0.22779962217889579</v>
      </c>
      <c r="F265" s="23">
        <v>0.23776105097159833</v>
      </c>
      <c r="G265" s="29">
        <v>0.24977409284340693</v>
      </c>
    </row>
    <row r="266" spans="1:7" x14ac:dyDescent="0.45">
      <c r="A266" s="9" t="s">
        <v>26</v>
      </c>
      <c r="B266" s="23">
        <v>5.174000782902878</v>
      </c>
      <c r="C266" s="23">
        <v>4.3058683188967155</v>
      </c>
      <c r="D266" s="23">
        <v>3.5957345916883652</v>
      </c>
      <c r="E266" s="23">
        <v>3.8570545309248141</v>
      </c>
      <c r="F266" s="23">
        <v>3.9033062122510604</v>
      </c>
      <c r="G266" s="29">
        <v>3.9328798316165612</v>
      </c>
    </row>
    <row r="267" spans="1:7" x14ac:dyDescent="0.45">
      <c r="A267" s="9" t="s">
        <v>27</v>
      </c>
      <c r="B267" s="23">
        <v>17.418764121774949</v>
      </c>
      <c r="C267" s="23">
        <v>18.469411501169731</v>
      </c>
      <c r="D267" s="23">
        <v>18.494351254172621</v>
      </c>
      <c r="E267" s="23">
        <v>18.1274602023718</v>
      </c>
      <c r="F267" s="23">
        <v>17.975229496835254</v>
      </c>
      <c r="G267" s="29">
        <v>17.729191305263594</v>
      </c>
    </row>
    <row r="268" spans="1:7" x14ac:dyDescent="0.45">
      <c r="A268" s="9" t="s">
        <v>28</v>
      </c>
      <c r="B268" s="23">
        <v>0.99681074071921849</v>
      </c>
      <c r="C268" s="23">
        <v>0.66085927361808139</v>
      </c>
      <c r="D268" s="23">
        <v>0.51459277744962328</v>
      </c>
      <c r="E268" s="23">
        <v>0.53552562025112471</v>
      </c>
      <c r="F268" s="23">
        <v>0.5455906592940275</v>
      </c>
      <c r="G268" s="29">
        <v>0.54736094192618046</v>
      </c>
    </row>
    <row r="269" spans="1:7" x14ac:dyDescent="0.45">
      <c r="A269" s="9" t="s">
        <v>29</v>
      </c>
      <c r="B269" s="23">
        <v>0</v>
      </c>
      <c r="C269" s="23">
        <v>0</v>
      </c>
      <c r="D269" s="23">
        <v>0</v>
      </c>
      <c r="E269" s="23">
        <v>0</v>
      </c>
      <c r="F269" s="23">
        <v>0</v>
      </c>
      <c r="G269" s="29">
        <v>0</v>
      </c>
    </row>
    <row r="270" spans="1:7" x14ac:dyDescent="0.45">
      <c r="A270" s="9" t="s">
        <v>30</v>
      </c>
      <c r="B270" s="23">
        <v>1.5512452410182109</v>
      </c>
      <c r="C270" s="23">
        <v>0.8159578316029068</v>
      </c>
      <c r="D270" s="23">
        <v>0.66605744339463002</v>
      </c>
      <c r="E270" s="23">
        <v>0.65375526476079149</v>
      </c>
      <c r="F270" s="23">
        <v>0.5169401678677511</v>
      </c>
      <c r="G270" s="29">
        <v>0.54950345229896103</v>
      </c>
    </row>
    <row r="271" spans="1:7" x14ac:dyDescent="0.45">
      <c r="A271" s="9" t="s">
        <v>31</v>
      </c>
      <c r="B271" s="23">
        <v>1.7479032104962097E-4</v>
      </c>
      <c r="C271" s="23">
        <v>1.6840178468079445E-4</v>
      </c>
      <c r="D271" s="23">
        <v>1.4858587951243832E-4</v>
      </c>
      <c r="E271" s="23">
        <v>1.4727073847582909E-4</v>
      </c>
      <c r="F271" s="23">
        <v>1.4782988112303425E-4</v>
      </c>
      <c r="G271" s="29">
        <v>2.0610863257768027E-4</v>
      </c>
    </row>
    <row r="272" spans="1:7" x14ac:dyDescent="0.45">
      <c r="A272" s="9" t="s">
        <v>32</v>
      </c>
      <c r="B272" s="23">
        <v>7.2668422144188324E-2</v>
      </c>
      <c r="C272" s="23">
        <v>5.4661430803164518E-2</v>
      </c>
      <c r="D272" s="23">
        <v>5.7230676069932936E-2</v>
      </c>
      <c r="E272" s="23">
        <v>6.1616371160832337E-2</v>
      </c>
      <c r="F272" s="23">
        <v>6.1842645278543579E-2</v>
      </c>
      <c r="G272" s="29">
        <v>6.7344462457251689E-2</v>
      </c>
    </row>
    <row r="273" spans="1:7" x14ac:dyDescent="0.45">
      <c r="A273" s="9" t="s">
        <v>33</v>
      </c>
      <c r="B273" s="23">
        <v>0.10886858711556185</v>
      </c>
      <c r="C273" s="23">
        <v>4.1327707486840469E-2</v>
      </c>
      <c r="D273" s="23">
        <v>5.1262566819377554E-2</v>
      </c>
      <c r="E273" s="23">
        <v>5.6091940525980377E-2</v>
      </c>
      <c r="F273" s="23">
        <v>5.5682818468815592E-2</v>
      </c>
      <c r="G273" s="29">
        <v>4.9600509894499913E-2</v>
      </c>
    </row>
    <row r="274" spans="1:7" x14ac:dyDescent="0.45">
      <c r="A274" s="9" t="s">
        <v>34</v>
      </c>
      <c r="B274" s="23">
        <v>0.15692496051284088</v>
      </c>
      <c r="C274" s="23">
        <v>2.826634289505927E-2</v>
      </c>
      <c r="D274" s="23">
        <v>2.3805810096638524E-2</v>
      </c>
      <c r="E274" s="23">
        <v>2.3615495711787317E-2</v>
      </c>
      <c r="F274" s="23">
        <v>2.3538232353485546E-2</v>
      </c>
      <c r="G274" s="29">
        <v>2.3572566731426405E-2</v>
      </c>
    </row>
    <row r="275" spans="1:7" x14ac:dyDescent="0.45">
      <c r="A275" s="9" t="s">
        <v>35</v>
      </c>
      <c r="B275" s="23">
        <v>2.1664653122709404E-2</v>
      </c>
      <c r="C275" s="23">
        <v>2.7262638950467835E-2</v>
      </c>
      <c r="D275" s="23">
        <v>4.2762818808730584E-2</v>
      </c>
      <c r="E275" s="23">
        <v>5.2372858744733179E-2</v>
      </c>
      <c r="F275" s="23">
        <v>5.8498959342003845E-2</v>
      </c>
      <c r="G275" s="29">
        <v>5.7878630618960487E-2</v>
      </c>
    </row>
    <row r="276" spans="1:7" x14ac:dyDescent="0.45">
      <c r="A276" s="9" t="s">
        <v>36</v>
      </c>
      <c r="B276" s="23">
        <v>0</v>
      </c>
      <c r="C276" s="23">
        <v>0</v>
      </c>
      <c r="D276" s="23">
        <v>0</v>
      </c>
      <c r="E276" s="23">
        <v>0</v>
      </c>
      <c r="F276" s="23">
        <v>0</v>
      </c>
      <c r="G276" s="29">
        <v>0</v>
      </c>
    </row>
    <row r="277" spans="1:7" x14ac:dyDescent="0.45">
      <c r="A277" s="9" t="s">
        <v>37</v>
      </c>
      <c r="B277" s="23">
        <v>6.7792272922941406</v>
      </c>
      <c r="C277" s="23">
        <v>7.8882488974252301</v>
      </c>
      <c r="D277" s="23">
        <v>7.9578982866219894</v>
      </c>
      <c r="E277" s="23">
        <v>7.9072022285826691</v>
      </c>
      <c r="F277" s="23">
        <v>7.8417747697341724</v>
      </c>
      <c r="G277" s="29">
        <v>8.0590530907292894</v>
      </c>
    </row>
    <row r="278" spans="1:7" x14ac:dyDescent="0.45">
      <c r="A278" s="9" t="s">
        <v>38</v>
      </c>
      <c r="B278" s="23">
        <v>2.3153767017243497E-2</v>
      </c>
      <c r="C278" s="23">
        <v>2.0954112842253118E-2</v>
      </c>
      <c r="D278" s="23">
        <v>1.7881926336023566E-2</v>
      </c>
      <c r="E278" s="23">
        <v>1.4788451494112493E-2</v>
      </c>
      <c r="F278" s="23">
        <v>1.7445063580675955E-2</v>
      </c>
      <c r="G278" s="29">
        <v>1.7072853551205695E-2</v>
      </c>
    </row>
    <row r="279" spans="1:7" x14ac:dyDescent="0.45">
      <c r="A279" s="9" t="s">
        <v>39</v>
      </c>
      <c r="B279" s="23">
        <v>0.6480460481824758</v>
      </c>
      <c r="C279" s="23">
        <v>0.66180475144033479</v>
      </c>
      <c r="D279" s="23">
        <v>0.64325807647904765</v>
      </c>
      <c r="E279" s="23">
        <v>0.65648387973033062</v>
      </c>
      <c r="F279" s="23">
        <v>0.66180616445303442</v>
      </c>
      <c r="G279" s="29">
        <v>0.65995756401667593</v>
      </c>
    </row>
    <row r="280" spans="1:7" x14ac:dyDescent="0.45">
      <c r="A280" s="9" t="s">
        <v>40</v>
      </c>
      <c r="B280" s="23">
        <v>1.087212701603026</v>
      </c>
      <c r="C280" s="23">
        <v>1.0420288033697203</v>
      </c>
      <c r="D280" s="23">
        <v>1.0317220790990773</v>
      </c>
      <c r="E280" s="23">
        <v>1.0291535746660236</v>
      </c>
      <c r="F280" s="23">
        <v>1.0622848630841901</v>
      </c>
      <c r="G280" s="29">
        <v>1.0502692239976246</v>
      </c>
    </row>
    <row r="281" spans="1:7" x14ac:dyDescent="0.45">
      <c r="A281" s="9" t="s">
        <v>41</v>
      </c>
      <c r="B281" s="23">
        <v>0.57359394160468924</v>
      </c>
      <c r="C281" s="23">
        <v>0.43988085597797971</v>
      </c>
      <c r="D281" s="23">
        <v>0.3226307837041465</v>
      </c>
      <c r="E281" s="23">
        <v>0.2872190444800985</v>
      </c>
      <c r="F281" s="23">
        <v>0.30123514459147693</v>
      </c>
      <c r="G281" s="29">
        <v>0.31711772611736733</v>
      </c>
    </row>
    <row r="282" spans="1:7" x14ac:dyDescent="0.45">
      <c r="A282" s="9" t="s">
        <v>42</v>
      </c>
      <c r="B282" s="23">
        <v>0</v>
      </c>
      <c r="C282" s="23">
        <v>0</v>
      </c>
      <c r="D282" s="23">
        <v>0</v>
      </c>
      <c r="E282" s="23">
        <v>0</v>
      </c>
      <c r="F282" s="23">
        <v>0</v>
      </c>
      <c r="G282" s="29">
        <v>0</v>
      </c>
    </row>
    <row r="283" spans="1:7" x14ac:dyDescent="0.45">
      <c r="A283" s="9" t="s">
        <v>43</v>
      </c>
      <c r="B283" s="23">
        <v>2.175504969391536</v>
      </c>
      <c r="C283" s="23">
        <v>2.45723133310717</v>
      </c>
      <c r="D283" s="23">
        <v>2.4740388509208513</v>
      </c>
      <c r="E283" s="23">
        <v>2.4357607046605412</v>
      </c>
      <c r="F283" s="23">
        <v>2.4178646957615153</v>
      </c>
      <c r="G283" s="29">
        <v>2.4063504685805674</v>
      </c>
    </row>
    <row r="284" spans="1:7" x14ac:dyDescent="0.45">
      <c r="A284" s="9" t="s">
        <v>44</v>
      </c>
      <c r="B284" s="23">
        <v>0.29786574606795657</v>
      </c>
      <c r="C284" s="23">
        <v>0.21361555299211454</v>
      </c>
      <c r="D284" s="23">
        <v>0.275871171814704</v>
      </c>
      <c r="E284" s="23">
        <v>0.28821492418170352</v>
      </c>
      <c r="F284" s="23">
        <v>0.28697722384051627</v>
      </c>
      <c r="G284" s="29">
        <v>0.28709682865289321</v>
      </c>
    </row>
    <row r="285" spans="1:7" x14ac:dyDescent="0.45">
      <c r="A285" s="9" t="s">
        <v>45</v>
      </c>
      <c r="B285" s="23">
        <v>10.77565300186583</v>
      </c>
      <c r="C285" s="23">
        <v>11.181194013409613</v>
      </c>
      <c r="D285" s="23">
        <v>12.657982869915585</v>
      </c>
      <c r="E285" s="23">
        <v>12.652191857685406</v>
      </c>
      <c r="F285" s="23">
        <v>13.168250079091626</v>
      </c>
      <c r="G285" s="29">
        <v>13.576781480378209</v>
      </c>
    </row>
    <row r="286" spans="1:7" x14ac:dyDescent="0.45">
      <c r="A286" s="9" t="s">
        <v>46</v>
      </c>
      <c r="B286" s="23">
        <v>2.7823951835435885</v>
      </c>
      <c r="C286" s="23">
        <v>2.6581148859167998</v>
      </c>
      <c r="D286" s="23">
        <v>2.4264698959003854</v>
      </c>
      <c r="E286" s="23">
        <v>2.3049619153366079</v>
      </c>
      <c r="F286" s="23">
        <v>2.3579709762451548</v>
      </c>
      <c r="G286" s="29">
        <v>2.4073918678828035</v>
      </c>
    </row>
    <row r="287" spans="1:7" x14ac:dyDescent="0.45">
      <c r="A287" s="9" t="s">
        <v>47</v>
      </c>
      <c r="B287" s="23">
        <v>0.49181885428026967</v>
      </c>
      <c r="C287" s="23">
        <v>0.43341814157592834</v>
      </c>
      <c r="D287" s="23">
        <v>0.75666757406516694</v>
      </c>
      <c r="E287" s="23">
        <v>1.0341735769045197</v>
      </c>
      <c r="F287" s="23">
        <v>1.2377877829328374</v>
      </c>
      <c r="G287" s="29">
        <v>1.4495682308580793</v>
      </c>
    </row>
    <row r="288" spans="1:7" x14ac:dyDescent="0.45">
      <c r="A288" s="9" t="s">
        <v>48</v>
      </c>
      <c r="B288" s="23">
        <v>2.4428709322018296</v>
      </c>
      <c r="C288" s="23">
        <v>2.5465505805326787</v>
      </c>
      <c r="D288" s="23">
        <v>2.5695416687021186</v>
      </c>
      <c r="E288" s="23">
        <v>2.596196272536047</v>
      </c>
      <c r="F288" s="23">
        <v>2.5972996259903036</v>
      </c>
      <c r="G288" s="29">
        <v>2.5697908810490548</v>
      </c>
    </row>
    <row r="289" spans="1:7" x14ac:dyDescent="0.45">
      <c r="A289" s="9" t="s">
        <v>49</v>
      </c>
      <c r="B289" s="23">
        <v>1.4910380523500133</v>
      </c>
      <c r="C289" s="23">
        <v>0.98372785835278453</v>
      </c>
      <c r="D289" s="23">
        <v>0.7803506478001383</v>
      </c>
      <c r="E289" s="23">
        <v>0.73176280381496761</v>
      </c>
      <c r="F289" s="23">
        <v>0.71425052961782565</v>
      </c>
      <c r="G289" s="29">
        <v>0.70470319161234873</v>
      </c>
    </row>
    <row r="290" spans="1:7" x14ac:dyDescent="0.45">
      <c r="A290" s="9" t="s">
        <v>50</v>
      </c>
      <c r="B290" s="23">
        <v>1.4613765603177213</v>
      </c>
      <c r="C290" s="23">
        <v>1.6204461320797059</v>
      </c>
      <c r="D290" s="23">
        <v>1.6322061306232496</v>
      </c>
      <c r="E290" s="23">
        <v>1.6332554893605515</v>
      </c>
      <c r="F290" s="23">
        <v>1.5950830632286976</v>
      </c>
      <c r="G290" s="29">
        <v>1.5885960480697081</v>
      </c>
    </row>
    <row r="291" spans="1:7" x14ac:dyDescent="0.45">
      <c r="A291" s="9" t="s">
        <v>51</v>
      </c>
      <c r="B291" s="23">
        <v>1.7334240019048992</v>
      </c>
      <c r="C291" s="23">
        <v>1.7485405635048565</v>
      </c>
      <c r="D291" s="23">
        <v>1.5775361403414832</v>
      </c>
      <c r="E291" s="23">
        <v>1.5338992353091832</v>
      </c>
      <c r="F291" s="23">
        <v>1.4657308424925206</v>
      </c>
      <c r="G291" s="29">
        <v>1.4011520037643586</v>
      </c>
    </row>
    <row r="292" spans="1:7" x14ac:dyDescent="0.45">
      <c r="B292" s="23">
        <v>0</v>
      </c>
      <c r="C292" s="23">
        <v>0</v>
      </c>
      <c r="D292" s="23">
        <v>0</v>
      </c>
      <c r="E292" s="23">
        <v>0</v>
      </c>
      <c r="F292" s="23">
        <v>0</v>
      </c>
    </row>
    <row r="293" spans="1:7" x14ac:dyDescent="0.45">
      <c r="A293" s="27" t="s">
        <v>75</v>
      </c>
      <c r="B293" s="21">
        <v>100</v>
      </c>
      <c r="C293" s="21">
        <v>100</v>
      </c>
      <c r="D293" s="21">
        <v>100</v>
      </c>
      <c r="E293" s="21">
        <v>100</v>
      </c>
      <c r="F293" s="21">
        <v>100</v>
      </c>
      <c r="G293" s="45">
        <v>99.999999999999986</v>
      </c>
    </row>
    <row r="295" spans="1:7" x14ac:dyDescent="0.45">
      <c r="B295" s="16"/>
      <c r="C295" s="16"/>
      <c r="D295" s="16"/>
      <c r="E295" s="16"/>
      <c r="F295" s="16"/>
      <c r="G295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2AE7-791C-4FE1-8F9F-2B30FEF815FE}">
  <dimension ref="A2:O58"/>
  <sheetViews>
    <sheetView topLeftCell="A37" workbookViewId="0">
      <selection activeCell="C64" sqref="C64"/>
    </sheetView>
  </sheetViews>
  <sheetFormatPr defaultRowHeight="14.25" x14ac:dyDescent="0.45"/>
  <cols>
    <col min="1" max="1" width="40.53125" style="9" customWidth="1"/>
    <col min="2" max="5" width="9.06640625" style="12"/>
  </cols>
  <sheetData>
    <row r="2" spans="1:15" s="1" customFormat="1" x14ac:dyDescent="0.45">
      <c r="A2" s="28" t="s">
        <v>76</v>
      </c>
      <c r="B2" s="14">
        <v>2020</v>
      </c>
      <c r="C2" s="14" t="s">
        <v>54</v>
      </c>
      <c r="D2" s="14">
        <v>2022</v>
      </c>
      <c r="E2" s="14">
        <v>2023</v>
      </c>
      <c r="F2" s="14">
        <v>2024</v>
      </c>
    </row>
    <row r="3" spans="1:15" x14ac:dyDescent="0.45">
      <c r="A3" s="15"/>
    </row>
    <row r="4" spans="1:15" x14ac:dyDescent="0.45">
      <c r="A4" s="9" t="s">
        <v>0</v>
      </c>
    </row>
    <row r="5" spans="1:15" x14ac:dyDescent="0.45">
      <c r="A5" s="9" t="s">
        <v>1</v>
      </c>
      <c r="B5" s="29">
        <v>14.73947300311249</v>
      </c>
      <c r="C5" s="29">
        <v>17.187305647530948</v>
      </c>
      <c r="D5" s="29">
        <v>3.8944914194987135</v>
      </c>
      <c r="E5" s="3">
        <f>('GDP_Current%'!F5/'GDP_Current%'!E5-1)*100</f>
        <v>13.369504688642152</v>
      </c>
      <c r="F5" s="3">
        <f>('GDP_Current%'!G5/'GDP_Current%'!F5-1)*100</f>
        <v>8.8242474550381367</v>
      </c>
      <c r="G5" s="3"/>
      <c r="H5" s="3"/>
      <c r="I5" s="3"/>
      <c r="J5" s="3"/>
      <c r="L5" s="2"/>
      <c r="M5" s="2"/>
      <c r="N5" s="2"/>
      <c r="O5" s="2"/>
    </row>
    <row r="6" spans="1:15" x14ac:dyDescent="0.45">
      <c r="A6" s="9" t="s">
        <v>2</v>
      </c>
      <c r="B6" s="29">
        <v>16.446613052509875</v>
      </c>
      <c r="C6" s="29">
        <v>24.123798802631423</v>
      </c>
      <c r="D6" s="29">
        <v>22.705828851988883</v>
      </c>
      <c r="E6" s="3">
        <f>('GDP_Current%'!F6/'GDP_Current%'!E6-1)*100</f>
        <v>3.72675397109683</v>
      </c>
      <c r="F6" s="3">
        <f>('GDP_Current%'!G6/'GDP_Current%'!F6-1)*100</f>
        <v>14.614068869477691</v>
      </c>
      <c r="G6" s="3"/>
      <c r="H6" s="3"/>
      <c r="I6" s="3"/>
      <c r="J6" s="3"/>
      <c r="L6" s="2"/>
      <c r="M6" s="2"/>
      <c r="N6" s="2"/>
      <c r="O6" s="2"/>
    </row>
    <row r="7" spans="1:15" x14ac:dyDescent="0.45">
      <c r="A7" s="9" t="s">
        <v>3</v>
      </c>
      <c r="B7" s="29">
        <v>9.8071694500610143</v>
      </c>
      <c r="C7" s="29">
        <v>15.866335678180699</v>
      </c>
      <c r="D7" s="29">
        <v>24.100501850217238</v>
      </c>
      <c r="E7" s="3">
        <f>('GDP_Current%'!F7/'GDP_Current%'!E7-1)*100</f>
        <v>14.149042094479514</v>
      </c>
      <c r="F7" s="3">
        <f>('GDP_Current%'!G7/'GDP_Current%'!F7-1)*100</f>
        <v>8.7604612777440352</v>
      </c>
      <c r="G7" s="3"/>
      <c r="H7" s="3"/>
      <c r="I7" s="3"/>
      <c r="J7" s="3"/>
      <c r="L7" s="2"/>
      <c r="M7" s="2"/>
      <c r="N7" s="2"/>
      <c r="O7" s="2"/>
    </row>
    <row r="8" spans="1:15" x14ac:dyDescent="0.45">
      <c r="A8" s="9" t="s">
        <v>4</v>
      </c>
      <c r="B8" s="29">
        <v>11.776295879158827</v>
      </c>
      <c r="C8" s="29">
        <v>3.2920252026536145</v>
      </c>
      <c r="D8" s="29">
        <v>8.2360872440730972</v>
      </c>
      <c r="E8" s="3">
        <f>('GDP_Current%'!F8/'GDP_Current%'!E8-1)*100</f>
        <v>21.849199705263821</v>
      </c>
      <c r="F8" s="3">
        <f>('GDP_Current%'!G8/'GDP_Current%'!F8-1)*100</f>
        <v>22.221922339853162</v>
      </c>
      <c r="G8" s="3"/>
      <c r="H8" s="3"/>
      <c r="I8" s="3"/>
      <c r="J8" s="3"/>
      <c r="L8" s="2"/>
      <c r="M8" s="2"/>
      <c r="N8" s="2"/>
      <c r="O8" s="2"/>
    </row>
    <row r="9" spans="1:15" x14ac:dyDescent="0.45">
      <c r="A9" s="9" t="s">
        <v>5</v>
      </c>
      <c r="B9" s="29"/>
      <c r="C9" s="29"/>
      <c r="D9" s="29"/>
      <c r="E9" s="3"/>
      <c r="F9" s="3"/>
      <c r="G9" s="3"/>
      <c r="H9" s="3"/>
      <c r="I9" s="3"/>
      <c r="J9" s="3"/>
      <c r="L9" s="2"/>
      <c r="M9" s="2"/>
      <c r="N9" s="2"/>
      <c r="O9" s="2"/>
    </row>
    <row r="10" spans="1:15" x14ac:dyDescent="0.45">
      <c r="A10" s="9" t="s">
        <v>6</v>
      </c>
      <c r="B10" s="29">
        <v>-14.698440239447574</v>
      </c>
      <c r="C10" s="29">
        <v>-5.4887068847418341</v>
      </c>
      <c r="D10" s="29">
        <v>24.250059984433857</v>
      </c>
      <c r="E10" s="3">
        <f>('GDP_Current%'!F10/'GDP_Current%'!E10-1)*100</f>
        <v>9.46643893212309</v>
      </c>
      <c r="F10" s="3">
        <f>('GDP_Current%'!G10/'GDP_Current%'!F10-1)*100</f>
        <v>11.407573636588907</v>
      </c>
      <c r="G10" s="3"/>
      <c r="H10" s="3"/>
      <c r="I10" s="3"/>
      <c r="J10" s="3"/>
      <c r="L10" s="2"/>
      <c r="M10" s="2"/>
      <c r="N10" s="2"/>
      <c r="O10" s="2"/>
    </row>
    <row r="11" spans="1:15" x14ac:dyDescent="0.45">
      <c r="A11" s="9" t="s">
        <v>7</v>
      </c>
      <c r="B11" s="29">
        <v>-8.7820609514544952</v>
      </c>
      <c r="C11" s="29">
        <v>5.7025613847132783</v>
      </c>
      <c r="D11" s="29">
        <v>4.8338361379111516</v>
      </c>
      <c r="E11" s="3">
        <f>('GDP_Current%'!F11/'GDP_Current%'!E11-1)*100</f>
        <v>6.7366243334807008</v>
      </c>
      <c r="F11" s="3">
        <f>('GDP_Current%'!G11/'GDP_Current%'!F11-1)*100</f>
        <v>-1.0652486130192207</v>
      </c>
      <c r="G11" s="3"/>
      <c r="H11" s="3"/>
      <c r="I11" s="3"/>
      <c r="J11" s="3"/>
      <c r="L11" s="2"/>
      <c r="M11" s="2"/>
      <c r="N11" s="2"/>
      <c r="O11" s="2"/>
    </row>
    <row r="12" spans="1:15" x14ac:dyDescent="0.45">
      <c r="A12" s="9" t="s">
        <v>8</v>
      </c>
      <c r="B12" s="29">
        <v>-64.684138548698868</v>
      </c>
      <c r="C12" s="29">
        <v>473.75304324006146</v>
      </c>
      <c r="D12" s="29">
        <v>48.497806922277498</v>
      </c>
      <c r="E12" s="3">
        <f>('GDP_Current%'!F12/'GDP_Current%'!E12-1)*100</f>
        <v>60.096631771454391</v>
      </c>
      <c r="F12" s="3">
        <f>('GDP_Current%'!G12/'GDP_Current%'!F12-1)*100</f>
        <v>94.467713601283791</v>
      </c>
      <c r="G12" s="3"/>
      <c r="H12" s="3"/>
      <c r="I12" s="3"/>
      <c r="J12" s="3"/>
      <c r="L12" s="2"/>
      <c r="M12" s="2"/>
      <c r="N12" s="2"/>
      <c r="O12" s="2"/>
    </row>
    <row r="13" spans="1:15" x14ac:dyDescent="0.45">
      <c r="A13" s="9" t="s">
        <v>9</v>
      </c>
      <c r="B13" s="29">
        <v>12.582509649705088</v>
      </c>
      <c r="C13" s="29">
        <v>7.5317157103888865</v>
      </c>
      <c r="D13" s="29">
        <v>13.08449760041861</v>
      </c>
      <c r="E13" s="3">
        <f>('GDP_Current%'!F13/'GDP_Current%'!E13-1)*100</f>
        <v>9.4325408438675993</v>
      </c>
      <c r="F13" s="3">
        <f>('GDP_Current%'!G13/'GDP_Current%'!F13-1)*100</f>
        <v>-19.301170175427039</v>
      </c>
      <c r="G13" s="3"/>
      <c r="H13" s="3"/>
      <c r="I13" s="3"/>
      <c r="J13" s="3"/>
      <c r="L13" s="2"/>
      <c r="M13" s="2"/>
      <c r="N13" s="2"/>
      <c r="O13" s="2"/>
    </row>
    <row r="14" spans="1:15" x14ac:dyDescent="0.45">
      <c r="A14" s="9" t="s">
        <v>10</v>
      </c>
      <c r="B14" s="29"/>
      <c r="C14" s="29"/>
      <c r="D14" s="29"/>
      <c r="E14" s="3"/>
      <c r="F14" s="3"/>
      <c r="G14" s="3"/>
      <c r="H14" s="3"/>
      <c r="I14" s="3"/>
      <c r="J14" s="3"/>
      <c r="L14" s="2"/>
      <c r="M14" s="2"/>
      <c r="N14" s="2"/>
      <c r="O14" s="2"/>
    </row>
    <row r="15" spans="1:15" x14ac:dyDescent="0.45">
      <c r="A15" s="9" t="s">
        <v>11</v>
      </c>
      <c r="B15" s="29">
        <v>-60.294566840047217</v>
      </c>
      <c r="C15" s="29">
        <v>-43.304959405896589</v>
      </c>
      <c r="D15" s="29">
        <v>-37.308711296155728</v>
      </c>
      <c r="E15" s="3">
        <f>('GDP_Current%'!F15/'GDP_Current%'!E15-1)*100</f>
        <v>-25.650836226838123</v>
      </c>
      <c r="F15" s="3">
        <f>('GDP_Current%'!G15/'GDP_Current%'!F15-1)*100</f>
        <v>-20.030382010180414</v>
      </c>
      <c r="G15" s="3"/>
      <c r="H15" s="3"/>
      <c r="I15" s="3"/>
      <c r="J15" s="3"/>
      <c r="L15" s="2"/>
      <c r="M15" s="2"/>
      <c r="N15" s="2"/>
      <c r="O15" s="2"/>
    </row>
    <row r="16" spans="1:15" x14ac:dyDescent="0.45">
      <c r="A16" s="9" t="s">
        <v>12</v>
      </c>
      <c r="B16" s="29">
        <v>1.9028906780018895</v>
      </c>
      <c r="C16" s="29">
        <v>10.733596033124137</v>
      </c>
      <c r="D16" s="29">
        <v>17.503715451584114</v>
      </c>
      <c r="E16" s="3">
        <f>('GDP_Current%'!F16/'GDP_Current%'!E16-1)*100</f>
        <v>20.965714679774592</v>
      </c>
      <c r="F16" s="3">
        <f>('GDP_Current%'!G16/'GDP_Current%'!F16-1)*100</f>
        <v>17.51752900616632</v>
      </c>
      <c r="G16" s="3"/>
      <c r="H16" s="3"/>
      <c r="I16" s="3"/>
      <c r="J16" s="3"/>
      <c r="L16" s="2"/>
      <c r="M16" s="2"/>
      <c r="N16" s="2"/>
      <c r="O16" s="2"/>
    </row>
    <row r="17" spans="1:15" x14ac:dyDescent="0.45">
      <c r="A17" s="9" t="s">
        <v>13</v>
      </c>
      <c r="B17" s="29">
        <v>-8.3950957047347448</v>
      </c>
      <c r="C17" s="29">
        <v>8.7088053267776253</v>
      </c>
      <c r="D17" s="29">
        <v>13.860480583113644</v>
      </c>
      <c r="E17" s="3">
        <f>('GDP_Current%'!F17/'GDP_Current%'!E17-1)*100</f>
        <v>19.965739164336416</v>
      </c>
      <c r="F17" s="3">
        <f>('GDP_Current%'!G17/'GDP_Current%'!F17-1)*100</f>
        <v>18.351518058311655</v>
      </c>
      <c r="G17" s="3"/>
      <c r="H17" s="3"/>
      <c r="I17" s="3"/>
      <c r="J17" s="3"/>
      <c r="L17" s="2"/>
      <c r="M17" s="2"/>
      <c r="N17" s="2"/>
      <c r="O17" s="2"/>
    </row>
    <row r="18" spans="1:15" x14ac:dyDescent="0.45">
      <c r="A18" s="9" t="s">
        <v>14</v>
      </c>
      <c r="B18" s="29">
        <v>-9.8830052219499915</v>
      </c>
      <c r="C18" s="29">
        <v>56.176026942093692</v>
      </c>
      <c r="D18" s="29">
        <v>19.094104783355714</v>
      </c>
      <c r="E18" s="3">
        <f>('GDP_Current%'!F18/'GDP_Current%'!E18-1)*100</f>
        <v>16.017723335533198</v>
      </c>
      <c r="F18" s="3">
        <f>('GDP_Current%'!G18/'GDP_Current%'!F18-1)*100</f>
        <v>-4.1763797819051929</v>
      </c>
      <c r="G18" s="3"/>
      <c r="H18" s="3"/>
      <c r="I18" s="3"/>
      <c r="J18" s="3"/>
      <c r="L18" s="2"/>
      <c r="M18" s="2"/>
      <c r="N18" s="2"/>
      <c r="O18" s="2"/>
    </row>
    <row r="19" spans="1:15" x14ac:dyDescent="0.45">
      <c r="A19" s="9" t="s">
        <v>15</v>
      </c>
      <c r="B19" s="29">
        <v>3.8873871233962243</v>
      </c>
      <c r="C19" s="29">
        <v>39.886995509217591</v>
      </c>
      <c r="D19" s="29">
        <v>28.012739790138497</v>
      </c>
      <c r="E19" s="3">
        <f>('GDP_Current%'!F19/'GDP_Current%'!E19-1)*100</f>
        <v>10.516129260383345</v>
      </c>
      <c r="F19" s="3">
        <f>('GDP_Current%'!G19/'GDP_Current%'!F19-1)*100</f>
        <v>14.586362208184877</v>
      </c>
      <c r="G19" s="3"/>
      <c r="H19" s="3"/>
      <c r="I19" s="3"/>
      <c r="J19" s="3"/>
      <c r="L19" s="2"/>
      <c r="M19" s="2"/>
      <c r="N19" s="2"/>
      <c r="O19" s="2"/>
    </row>
    <row r="20" spans="1:15" x14ac:dyDescent="0.45">
      <c r="A20" s="9" t="s">
        <v>16</v>
      </c>
      <c r="B20" s="29">
        <v>-13.683696760684505</v>
      </c>
      <c r="C20" s="29">
        <v>50.064798580447409</v>
      </c>
      <c r="D20" s="29">
        <v>2.9550265171707668</v>
      </c>
      <c r="E20" s="3">
        <f>('GDP_Current%'!F20/'GDP_Current%'!E20-1)*100</f>
        <v>10.968818079909148</v>
      </c>
      <c r="F20" s="3">
        <f>('GDP_Current%'!G20/'GDP_Current%'!F20-1)*100</f>
        <v>14.017679010597984</v>
      </c>
      <c r="G20" s="3"/>
      <c r="H20" s="3"/>
      <c r="I20" s="3"/>
      <c r="J20" s="3"/>
      <c r="L20" s="2"/>
      <c r="M20" s="2"/>
      <c r="N20" s="2"/>
      <c r="O20" s="2"/>
    </row>
    <row r="21" spans="1:15" x14ac:dyDescent="0.45">
      <c r="A21" s="9" t="s">
        <v>17</v>
      </c>
      <c r="B21" s="29">
        <v>16.753857553187434</v>
      </c>
      <c r="C21" s="29">
        <v>13.833385890973805</v>
      </c>
      <c r="D21" s="29">
        <v>25.184278834583097</v>
      </c>
      <c r="E21" s="3">
        <f>('GDP_Current%'!F21/'GDP_Current%'!E21-1)*100</f>
        <v>23.058650418882621</v>
      </c>
      <c r="F21" s="3">
        <f>('GDP_Current%'!G21/'GDP_Current%'!F21-1)*100</f>
        <v>21.445034539915643</v>
      </c>
      <c r="G21" s="3"/>
      <c r="H21" s="3"/>
      <c r="I21" s="3"/>
      <c r="J21" s="3"/>
      <c r="L21" s="2"/>
      <c r="M21" s="2"/>
      <c r="N21" s="2"/>
      <c r="O21" s="2"/>
    </row>
    <row r="22" spans="1:15" x14ac:dyDescent="0.45">
      <c r="A22" s="9" t="s">
        <v>18</v>
      </c>
      <c r="B22" s="29">
        <v>-2.6780074721560632</v>
      </c>
      <c r="C22" s="29">
        <v>15.613829895408472</v>
      </c>
      <c r="D22" s="29">
        <v>13.988972295358582</v>
      </c>
      <c r="E22" s="3">
        <f>('GDP_Current%'!F22/'GDP_Current%'!E22-1)*100</f>
        <v>10.400225502005433</v>
      </c>
      <c r="F22" s="3">
        <f>('GDP_Current%'!G22/'GDP_Current%'!F22-1)*100</f>
        <v>14.808380984591407</v>
      </c>
      <c r="G22" s="3"/>
      <c r="H22" s="3"/>
      <c r="I22" s="3"/>
      <c r="J22" s="3"/>
      <c r="L22" s="2"/>
      <c r="M22" s="2"/>
      <c r="N22" s="2"/>
      <c r="O22" s="2"/>
    </row>
    <row r="23" spans="1:15" x14ac:dyDescent="0.45">
      <c r="A23" s="9" t="s">
        <v>19</v>
      </c>
      <c r="B23" s="29">
        <v>-3.8210623806360311</v>
      </c>
      <c r="C23" s="29">
        <v>11.136718777569721</v>
      </c>
      <c r="D23" s="29">
        <v>19.79701238826852</v>
      </c>
      <c r="E23" s="3">
        <f>('GDP_Current%'!F23/'GDP_Current%'!E23-1)*100</f>
        <v>-10.337951526606936</v>
      </c>
      <c r="F23" s="3">
        <f>('GDP_Current%'!G23/'GDP_Current%'!F23-1)*100</f>
        <v>16.037579790627387</v>
      </c>
      <c r="G23" s="3"/>
      <c r="H23" s="3"/>
      <c r="I23" s="3"/>
      <c r="J23" s="3"/>
      <c r="L23" s="2"/>
      <c r="M23" s="2"/>
      <c r="N23" s="2"/>
      <c r="O23" s="2"/>
    </row>
    <row r="24" spans="1:15" x14ac:dyDescent="0.45">
      <c r="A24" s="9" t="s">
        <v>20</v>
      </c>
      <c r="B24" s="29">
        <v>-2.9228424932534081</v>
      </c>
      <c r="C24" s="29">
        <v>110.75137769793142</v>
      </c>
      <c r="D24" s="29">
        <v>32.432361107983333</v>
      </c>
      <c r="E24" s="3">
        <f>('GDP_Current%'!F24/'GDP_Current%'!E24-1)*100</f>
        <v>8.7042890299829914</v>
      </c>
      <c r="F24" s="3">
        <f>('GDP_Current%'!G24/'GDP_Current%'!F24-1)*100</f>
        <v>8.2514749880837854</v>
      </c>
      <c r="G24" s="3"/>
      <c r="H24" s="3"/>
      <c r="I24" s="3"/>
      <c r="J24" s="3"/>
      <c r="L24" s="2"/>
      <c r="M24" s="2"/>
      <c r="N24" s="2"/>
      <c r="O24" s="2"/>
    </row>
    <row r="25" spans="1:15" x14ac:dyDescent="0.45">
      <c r="A25" s="9" t="s">
        <v>21</v>
      </c>
      <c r="B25" s="29">
        <v>-4.2423324562108959</v>
      </c>
      <c r="C25" s="29">
        <v>36.912074862909684</v>
      </c>
      <c r="D25" s="29">
        <v>4.6141412761253386</v>
      </c>
      <c r="E25" s="3">
        <f>('GDP_Current%'!F25/'GDP_Current%'!E25-1)*100</f>
        <v>11.633098304794331</v>
      </c>
      <c r="F25" s="3">
        <f>('GDP_Current%'!G25/'GDP_Current%'!F25-1)*100</f>
        <v>13.172409129227013</v>
      </c>
      <c r="G25" s="3"/>
      <c r="H25" s="3"/>
      <c r="I25" s="3"/>
      <c r="J25" s="3"/>
      <c r="L25" s="2"/>
      <c r="M25" s="2"/>
      <c r="N25" s="2"/>
      <c r="O25" s="2"/>
    </row>
    <row r="26" spans="1:15" x14ac:dyDescent="0.45">
      <c r="A26" s="9" t="s">
        <v>22</v>
      </c>
      <c r="B26" s="29">
        <v>-38.081451201453064</v>
      </c>
      <c r="C26" s="29">
        <v>80.017756089132504</v>
      </c>
      <c r="D26" s="29">
        <v>14.184078364222263</v>
      </c>
      <c r="E26" s="3">
        <f>('GDP_Current%'!F26/'GDP_Current%'!E26-1)*100</f>
        <v>14.162096970344429</v>
      </c>
      <c r="F26" s="3">
        <f>('GDP_Current%'!G26/'GDP_Current%'!F26-1)*100</f>
        <v>12.443319641449403</v>
      </c>
      <c r="G26" s="3"/>
      <c r="H26" s="3"/>
      <c r="I26" s="3"/>
      <c r="J26" s="3"/>
      <c r="L26" s="2"/>
      <c r="M26" s="2"/>
      <c r="N26" s="2"/>
      <c r="O26" s="2"/>
    </row>
    <row r="27" spans="1:15" x14ac:dyDescent="0.45">
      <c r="A27" s="9" t="s">
        <v>23</v>
      </c>
      <c r="B27" s="29">
        <v>-26.205922427488858</v>
      </c>
      <c r="C27" s="29">
        <v>20.015538849255577</v>
      </c>
      <c r="D27" s="29">
        <v>19.775144317852721</v>
      </c>
      <c r="E27" s="3">
        <f>('GDP_Current%'!F27/'GDP_Current%'!E27-1)*100</f>
        <v>12.468616880514528</v>
      </c>
      <c r="F27" s="3">
        <f>('GDP_Current%'!G27/'GDP_Current%'!F27-1)*100</f>
        <v>12.693629033793673</v>
      </c>
      <c r="G27" s="3"/>
      <c r="H27" s="3"/>
      <c r="I27" s="3"/>
      <c r="J27" s="3"/>
      <c r="L27" s="2"/>
      <c r="M27" s="2"/>
      <c r="N27" s="2"/>
      <c r="O27" s="2"/>
    </row>
    <row r="28" spans="1:15" x14ac:dyDescent="0.45">
      <c r="A28" s="9" t="s">
        <v>24</v>
      </c>
      <c r="B28" s="29">
        <v>12.353231980715496</v>
      </c>
      <c r="C28" s="29">
        <v>74.374974664891738</v>
      </c>
      <c r="D28" s="29">
        <v>1.266884444262284</v>
      </c>
      <c r="E28" s="3">
        <f>('GDP_Current%'!F28/'GDP_Current%'!E28-1)*100</f>
        <v>36.086900924079799</v>
      </c>
      <c r="F28" s="3">
        <f>('GDP_Current%'!G28/'GDP_Current%'!F28-1)*100</f>
        <v>13.410253081695034</v>
      </c>
      <c r="G28" s="3"/>
      <c r="H28" s="3"/>
      <c r="I28" s="3"/>
      <c r="J28" s="3"/>
      <c r="L28" s="2"/>
      <c r="M28" s="2"/>
      <c r="N28" s="2"/>
      <c r="O28" s="2"/>
    </row>
    <row r="29" spans="1:15" x14ac:dyDescent="0.45">
      <c r="A29" s="9" t="s">
        <v>25</v>
      </c>
      <c r="B29" s="29">
        <v>1.6686099967730295</v>
      </c>
      <c r="C29" s="29">
        <v>15.807341361965754</v>
      </c>
      <c r="D29" s="29">
        <v>3.4602737431976616</v>
      </c>
      <c r="E29" s="3">
        <f>('GDP_Current%'!F29/'GDP_Current%'!E29-1)*100</f>
        <v>10.039317205857422</v>
      </c>
      <c r="F29" s="3">
        <f>('GDP_Current%'!G29/'GDP_Current%'!F29-1)*100</f>
        <v>29.891312321736251</v>
      </c>
      <c r="G29" s="3"/>
      <c r="H29" s="3"/>
      <c r="I29" s="3"/>
      <c r="J29" s="3"/>
      <c r="L29" s="2"/>
      <c r="M29" s="2"/>
      <c r="N29" s="2"/>
      <c r="O29" s="2"/>
    </row>
    <row r="30" spans="1:15" x14ac:dyDescent="0.45">
      <c r="A30" s="9" t="s">
        <v>26</v>
      </c>
      <c r="B30" s="29">
        <v>-7.9885752154314709</v>
      </c>
      <c r="C30" s="29">
        <v>5.7282416937681102</v>
      </c>
      <c r="D30" s="29">
        <v>20.149016824171827</v>
      </c>
      <c r="E30" s="3">
        <f>('GDP_Current%'!F30/'GDP_Current%'!E30-1)*100</f>
        <v>11.502665722536154</v>
      </c>
      <c r="F30" s="3">
        <f>('GDP_Current%'!G30/'GDP_Current%'!F30-1)*100</f>
        <v>18.238007532563529</v>
      </c>
      <c r="G30" s="3"/>
      <c r="H30" s="3"/>
      <c r="I30" s="3"/>
      <c r="J30" s="3"/>
      <c r="L30" s="2"/>
      <c r="M30" s="2"/>
      <c r="N30" s="2"/>
      <c r="O30" s="2"/>
    </row>
    <row r="31" spans="1:15" x14ac:dyDescent="0.45">
      <c r="A31" s="9" t="s">
        <v>27</v>
      </c>
      <c r="B31" s="29">
        <v>1.8595460089501525</v>
      </c>
      <c r="C31" s="29">
        <v>10.087384951729362</v>
      </c>
      <c r="D31" s="29">
        <v>16.311434012940062</v>
      </c>
      <c r="E31" s="3">
        <f>('GDP_Current%'!F31/'GDP_Current%'!E31-1)*100</f>
        <v>19.046158684264512</v>
      </c>
      <c r="F31" s="3">
        <f>('GDP_Current%'!G31/'GDP_Current%'!F31-1)*100</f>
        <v>23.0028459173508</v>
      </c>
      <c r="G31" s="3"/>
      <c r="H31" s="3"/>
      <c r="I31" s="3"/>
      <c r="J31" s="3"/>
      <c r="L31" s="2"/>
      <c r="M31" s="2"/>
      <c r="N31" s="2"/>
      <c r="O31" s="2"/>
    </row>
    <row r="32" spans="1:15" x14ac:dyDescent="0.45">
      <c r="A32" s="9" t="s">
        <v>28</v>
      </c>
      <c r="B32" s="29">
        <v>-6.2114463289067228</v>
      </c>
      <c r="C32" s="29">
        <v>-14.567457901378145</v>
      </c>
      <c r="D32" s="29">
        <v>21.692790182700715</v>
      </c>
      <c r="E32" s="3">
        <f>('GDP_Current%'!F32/'GDP_Current%'!E32-1)*100</f>
        <v>12.781206980108383</v>
      </c>
      <c r="F32" s="3">
        <f>('GDP_Current%'!G32/'GDP_Current%'!F32-1)*100</f>
        <v>16.346876413497924</v>
      </c>
      <c r="G32" s="3"/>
      <c r="H32" s="3"/>
      <c r="I32" s="3"/>
      <c r="J32" s="3"/>
      <c r="L32" s="2"/>
      <c r="M32" s="2"/>
      <c r="N32" s="2"/>
      <c r="O32" s="2"/>
    </row>
    <row r="33" spans="1:15" x14ac:dyDescent="0.45">
      <c r="A33" s="9" t="s">
        <v>29</v>
      </c>
      <c r="B33" s="29"/>
      <c r="C33" s="29"/>
      <c r="D33" s="29"/>
      <c r="E33" s="3"/>
      <c r="F33" s="3"/>
      <c r="G33" s="3"/>
      <c r="H33" s="3"/>
      <c r="I33" s="3"/>
      <c r="J33" s="3"/>
      <c r="L33" s="2"/>
      <c r="M33" s="2"/>
      <c r="N33" s="2"/>
      <c r="O33" s="2"/>
    </row>
    <row r="34" spans="1:15" x14ac:dyDescent="0.45">
      <c r="A34" s="9" t="s">
        <v>30</v>
      </c>
      <c r="B34" s="29">
        <v>-42.360119085128531</v>
      </c>
      <c r="C34" s="29">
        <v>3.8718009512739293E-2</v>
      </c>
      <c r="D34" s="29">
        <v>5.9627183894044311</v>
      </c>
      <c r="E34" s="3">
        <f>('GDP_Current%'!F34/'GDP_Current%'!E34-1)*100</f>
        <v>12.737175849276161</v>
      </c>
      <c r="F34" s="3">
        <f>('GDP_Current%'!G34/'GDP_Current%'!F34-1)*100</f>
        <v>34.97730924563691</v>
      </c>
      <c r="G34" s="3"/>
      <c r="H34" s="3"/>
      <c r="I34" s="3"/>
      <c r="J34" s="3"/>
      <c r="L34" s="2"/>
      <c r="M34" s="2"/>
      <c r="N34" s="2"/>
      <c r="O34" s="2"/>
    </row>
    <row r="35" spans="1:15" x14ac:dyDescent="0.45">
      <c r="A35" s="9" t="s">
        <v>31</v>
      </c>
      <c r="B35" s="29">
        <v>-0.2043202888627027</v>
      </c>
      <c r="C35" s="29">
        <v>2.6552996517531069</v>
      </c>
      <c r="D35" s="29">
        <v>17.083552092155195</v>
      </c>
      <c r="E35" s="3">
        <f>('GDP_Current%'!F35/'GDP_Current%'!E35-1)*100</f>
        <v>16.793577462827503</v>
      </c>
      <c r="F35" s="3">
        <f>('GDP_Current%'!G35/'GDP_Current%'!F35-1)*100</f>
        <v>93.979778267285027</v>
      </c>
      <c r="G35" s="3"/>
      <c r="H35" s="3"/>
      <c r="I35" s="3"/>
      <c r="J35" s="3"/>
      <c r="L35" s="2"/>
      <c r="M35" s="2"/>
      <c r="N35" s="2"/>
      <c r="O35" s="2"/>
    </row>
    <row r="36" spans="1:15" x14ac:dyDescent="0.45">
      <c r="A36" s="9" t="s">
        <v>32</v>
      </c>
      <c r="B36" s="29">
        <v>-17.665804629248662</v>
      </c>
      <c r="C36" s="29">
        <v>7.4723801729489558</v>
      </c>
      <c r="D36" s="29">
        <v>16.788938511608652</v>
      </c>
      <c r="E36" s="3">
        <f>('GDP_Current%'!F36/'GDP_Current%'!E36-1)*100</f>
        <v>9.6740405158682208</v>
      </c>
      <c r="F36" s="3">
        <f>('GDP_Current%'!G36/'GDP_Current%'!F36-1)*100</f>
        <v>35.392361322112301</v>
      </c>
      <c r="G36" s="3"/>
      <c r="H36" s="3"/>
      <c r="I36" s="3"/>
      <c r="J36" s="3"/>
      <c r="L36" s="2"/>
      <c r="M36" s="2"/>
      <c r="N36" s="2"/>
      <c r="O36" s="2"/>
    </row>
    <row r="37" spans="1:15" x14ac:dyDescent="0.45">
      <c r="A37" s="9" t="s">
        <v>33</v>
      </c>
      <c r="B37" s="29">
        <v>-54.535623548899096</v>
      </c>
      <c r="C37" s="29">
        <v>43.898128965165675</v>
      </c>
      <c r="D37" s="29">
        <v>22.624023055607356</v>
      </c>
      <c r="E37" s="3">
        <f>('GDP_Current%'!F37/'GDP_Current%'!E37-1)*100</f>
        <v>20.807903496276261</v>
      </c>
      <c r="F37" s="3">
        <f>('GDP_Current%'!G37/'GDP_Current%'!F37-1)*100</f>
        <v>20.121701410701331</v>
      </c>
      <c r="G37" s="3"/>
      <c r="H37" s="3"/>
      <c r="I37" s="3"/>
      <c r="J37" s="3"/>
      <c r="L37" s="2"/>
      <c r="M37" s="2"/>
      <c r="N37" s="2"/>
      <c r="O37" s="2"/>
    </row>
    <row r="38" spans="1:15" x14ac:dyDescent="0.45">
      <c r="A38" s="9" t="s">
        <v>34</v>
      </c>
      <c r="B38" s="29">
        <v>-81.34221751032122</v>
      </c>
      <c r="C38" s="29">
        <v>-2.0140365284482376</v>
      </c>
      <c r="D38" s="29">
        <v>18.621636082309955</v>
      </c>
      <c r="E38" s="3">
        <f>('GDP_Current%'!F38/'GDP_Current%'!E38-1)*100</f>
        <v>19.829201158359645</v>
      </c>
      <c r="F38" s="3">
        <f>('GDP_Current%'!G38/'GDP_Current%'!F38-1)*100</f>
        <v>19.660369802801302</v>
      </c>
      <c r="G38" s="3"/>
      <c r="H38" s="3"/>
      <c r="I38" s="3"/>
      <c r="J38" s="3"/>
      <c r="L38" s="2"/>
      <c r="M38" s="2"/>
      <c r="N38" s="2"/>
      <c r="O38" s="2"/>
    </row>
    <row r="39" spans="1:15" x14ac:dyDescent="0.45">
      <c r="A39" s="9" t="s">
        <v>35</v>
      </c>
      <c r="B39" s="29">
        <v>31.723183052386084</v>
      </c>
      <c r="C39" s="29">
        <v>82.241647462526402</v>
      </c>
      <c r="D39" s="29">
        <v>46.280425910540778</v>
      </c>
      <c r="E39" s="3">
        <f>('GDP_Current%'!F39/'GDP_Current%'!E39-1)*100</f>
        <v>34.132860288483926</v>
      </c>
      <c r="F39" s="3">
        <f>('GDP_Current%'!G39/'GDP_Current%'!F39-1)*100</f>
        <v>18.110580155213007</v>
      </c>
      <c r="G39" s="3"/>
      <c r="H39" s="3"/>
      <c r="I39" s="3"/>
      <c r="J39" s="3"/>
      <c r="L39" s="2"/>
      <c r="M39" s="2"/>
      <c r="N39" s="2"/>
      <c r="O39" s="2"/>
    </row>
    <row r="40" spans="1:15" x14ac:dyDescent="0.45">
      <c r="A40" s="9" t="s">
        <v>36</v>
      </c>
      <c r="B40" s="29"/>
      <c r="C40" s="29"/>
      <c r="D40" s="29"/>
      <c r="E40" s="3"/>
      <c r="F40" s="3"/>
      <c r="G40" s="3"/>
      <c r="H40" s="3"/>
      <c r="I40" s="3"/>
      <c r="J40" s="3"/>
      <c r="L40" s="2"/>
      <c r="M40" s="2"/>
      <c r="N40" s="2"/>
      <c r="O40" s="2"/>
    </row>
    <row r="41" spans="1:15" x14ac:dyDescent="0.45">
      <c r="A41" s="9" t="s">
        <v>37</v>
      </c>
      <c r="B41" s="29">
        <v>21.659657527082189</v>
      </c>
      <c r="C41" s="29">
        <v>11.089106896013279</v>
      </c>
      <c r="D41" s="29">
        <v>11.252742139100969</v>
      </c>
      <c r="E41" s="3">
        <f>('GDP_Current%'!F41/'GDP_Current%'!E41-1)*100</f>
        <v>10.552343334181447</v>
      </c>
      <c r="F41" s="3">
        <f>('GDP_Current%'!G41/'GDP_Current%'!F41-1)*100</f>
        <v>10.608958680267477</v>
      </c>
      <c r="G41" s="3"/>
      <c r="H41" s="3"/>
      <c r="I41" s="3"/>
      <c r="J41" s="3"/>
      <c r="L41" s="2"/>
      <c r="M41" s="2"/>
      <c r="N41" s="2"/>
      <c r="O41" s="2"/>
    </row>
    <row r="42" spans="1:15" x14ac:dyDescent="0.45">
      <c r="A42" s="9" t="s">
        <v>38</v>
      </c>
      <c r="B42" s="29">
        <v>-12.752453718607637</v>
      </c>
      <c r="C42" s="29">
        <v>-0.56555024055722214</v>
      </c>
      <c r="D42" s="29">
        <v>-0.91096000561529111</v>
      </c>
      <c r="E42" s="3">
        <f>('GDP_Current%'!F42/'GDP_Current%'!E42-1)*100</f>
        <v>25.553807679647722</v>
      </c>
      <c r="F42" s="3">
        <f>('GDP_Current%'!G42/'GDP_Current%'!F42-1)*100</f>
        <v>5.3436227738740127</v>
      </c>
      <c r="G42" s="3"/>
      <c r="H42" s="3"/>
      <c r="I42" s="3"/>
      <c r="J42" s="3"/>
      <c r="L42" s="2"/>
      <c r="M42" s="2"/>
      <c r="N42" s="2"/>
      <c r="O42" s="2"/>
    </row>
    <row r="43" spans="1:15" x14ac:dyDescent="0.45">
      <c r="A43" s="9" t="s">
        <v>39</v>
      </c>
      <c r="B43" s="29">
        <v>-2.1762899275615921</v>
      </c>
      <c r="C43" s="29">
        <v>29.766689536206513</v>
      </c>
      <c r="D43" s="29">
        <v>8.7984486711693233</v>
      </c>
      <c r="E43" s="3">
        <f>('GDP_Current%'!F43/'GDP_Current%'!E43-1)*100</f>
        <v>21.620738586402233</v>
      </c>
      <c r="F43" s="3">
        <f>('GDP_Current%'!G43/'GDP_Current%'!F43-1)*100</f>
        <v>21.390447152318259</v>
      </c>
      <c r="G43" s="3"/>
      <c r="H43" s="3"/>
      <c r="I43" s="3"/>
      <c r="J43" s="3"/>
      <c r="L43" s="2"/>
      <c r="M43" s="2"/>
      <c r="N43" s="2"/>
      <c r="O43" s="2"/>
    </row>
    <row r="44" spans="1:15" x14ac:dyDescent="0.45">
      <c r="A44" s="9" t="s">
        <v>40</v>
      </c>
      <c r="B44" s="29">
        <v>18.562423650369333</v>
      </c>
      <c r="C44" s="29">
        <v>2.3597255792235261</v>
      </c>
      <c r="D44" s="29">
        <v>6.3411485414028412</v>
      </c>
      <c r="E44" s="3">
        <f>('GDP_Current%'!F44/'GDP_Current%'!E44-1)*100</f>
        <v>20.100629545119375</v>
      </c>
      <c r="F44" s="3">
        <f>('GDP_Current%'!G44/'GDP_Current%'!F44-1)*100</f>
        <v>21.022104070706305</v>
      </c>
      <c r="G44" s="3"/>
      <c r="H44" s="3"/>
      <c r="I44" s="3"/>
      <c r="J44" s="3"/>
      <c r="L44" s="2"/>
      <c r="M44" s="2"/>
      <c r="N44" s="2"/>
      <c r="O44" s="2"/>
    </row>
    <row r="45" spans="1:15" x14ac:dyDescent="0.45">
      <c r="A45" s="9" t="s">
        <v>41</v>
      </c>
      <c r="B45" s="29">
        <v>-26.138503249803581</v>
      </c>
      <c r="C45" s="29">
        <v>7.0901343685049856</v>
      </c>
      <c r="D45" s="29">
        <v>28.216471812952946</v>
      </c>
      <c r="E45" s="3">
        <f>('GDP_Current%'!F45/'GDP_Current%'!E45-1)*100</f>
        <v>23.110914620480294</v>
      </c>
      <c r="F45" s="3">
        <f>('GDP_Current%'!G45/'GDP_Current%'!F45-1)*100</f>
        <v>22.19608549498875</v>
      </c>
      <c r="G45" s="3"/>
      <c r="H45" s="3"/>
      <c r="I45" s="3"/>
      <c r="J45" s="3"/>
      <c r="L45" s="2"/>
      <c r="M45" s="2"/>
      <c r="N45" s="2"/>
      <c r="O45" s="2"/>
    </row>
    <row r="46" spans="1:15" x14ac:dyDescent="0.45">
      <c r="A46" s="9" t="s">
        <v>42</v>
      </c>
      <c r="B46" s="29"/>
      <c r="C46" s="29"/>
      <c r="D46" s="29"/>
      <c r="E46" s="3"/>
      <c r="F46" s="3"/>
      <c r="G46" s="3"/>
      <c r="H46" s="3"/>
      <c r="I46" s="3"/>
      <c r="J46" s="3"/>
      <c r="L46" s="2"/>
      <c r="M46" s="2"/>
      <c r="N46" s="2"/>
      <c r="O46" s="2"/>
    </row>
    <row r="47" spans="1:15" x14ac:dyDescent="0.45">
      <c r="A47" s="9" t="s">
        <v>43</v>
      </c>
      <c r="B47" s="29">
        <v>16.913091293658834</v>
      </c>
      <c r="C47" s="29">
        <v>9.1261343166275655</v>
      </c>
      <c r="D47" s="29">
        <v>7.8331115571593335</v>
      </c>
      <c r="E47" s="3">
        <f>('GDP_Current%'!F47/'GDP_Current%'!E47-1)*100</f>
        <v>20.895498924783308</v>
      </c>
      <c r="F47" s="3">
        <f>('GDP_Current%'!G47/'GDP_Current%'!F47-1)*100</f>
        <v>22.960208151762941</v>
      </c>
      <c r="G47" s="3"/>
      <c r="H47" s="3"/>
      <c r="I47" s="3"/>
      <c r="J47" s="3"/>
      <c r="L47" s="2"/>
      <c r="M47" s="2"/>
      <c r="N47" s="2"/>
      <c r="O47" s="2"/>
    </row>
    <row r="48" spans="1:15" x14ac:dyDescent="0.45">
      <c r="A48" s="9" t="s">
        <v>44</v>
      </c>
      <c r="B48" s="29">
        <v>-24.433736076547021</v>
      </c>
      <c r="C48" s="29">
        <v>52.465321961307446</v>
      </c>
      <c r="D48" s="29">
        <v>13.071620967758268</v>
      </c>
      <c r="E48" s="3">
        <f>('GDP_Current%'!F48/'GDP_Current%'!E48-1)*100</f>
        <v>21.877196239304062</v>
      </c>
      <c r="F48" s="3">
        <f>('GDP_Current%'!G48/'GDP_Current%'!F48-1)*100</f>
        <v>21.74592666127446</v>
      </c>
      <c r="G48" s="3"/>
      <c r="H48" s="3"/>
      <c r="I48" s="3"/>
      <c r="J48" s="3"/>
      <c r="L48" s="2"/>
      <c r="M48" s="2"/>
      <c r="N48" s="2"/>
      <c r="O48" s="2"/>
    </row>
    <row r="49" spans="1:15" x14ac:dyDescent="0.45">
      <c r="A49" s="9" t="s">
        <v>45</v>
      </c>
      <c r="B49" s="29">
        <v>-1.3011633937257017</v>
      </c>
      <c r="C49" s="29">
        <v>19.54260317010106</v>
      </c>
      <c r="D49" s="29">
        <v>7.1821377779776707</v>
      </c>
      <c r="E49" s="3">
        <f>('GDP_Current%'!F49/'GDP_Current%'!E49-1)*100</f>
        <v>10.314793746799156</v>
      </c>
      <c r="F49" s="3">
        <f>('GDP_Current%'!G49/'GDP_Current%'!F49-1)*100</f>
        <v>34.339433860445865</v>
      </c>
      <c r="G49" s="3"/>
      <c r="H49" s="3"/>
      <c r="I49" s="3"/>
      <c r="J49" s="3"/>
      <c r="L49" s="2"/>
      <c r="M49" s="2"/>
      <c r="N49" s="2"/>
      <c r="O49" s="2"/>
    </row>
    <row r="50" spans="1:15" x14ac:dyDescent="0.45">
      <c r="A50" s="9" t="s">
        <v>46</v>
      </c>
      <c r="B50" s="29">
        <v>0.66316446715064536</v>
      </c>
      <c r="C50" s="29">
        <v>15.907237345587856</v>
      </c>
      <c r="D50" s="29">
        <v>11.592558431643107</v>
      </c>
      <c r="E50" s="3">
        <f>('GDP_Current%'!F50/'GDP_Current%'!E50-1)*100</f>
        <v>20.406619191667886</v>
      </c>
      <c r="F50" s="3">
        <f>('GDP_Current%'!G50/'GDP_Current%'!F50-1)*100</f>
        <v>22.204833642541466</v>
      </c>
      <c r="G50" s="3"/>
      <c r="H50" s="3"/>
      <c r="I50" s="3"/>
      <c r="J50" s="3"/>
      <c r="L50" s="2"/>
      <c r="M50" s="2"/>
      <c r="N50" s="2"/>
      <c r="O50" s="2"/>
    </row>
    <row r="51" spans="1:15" x14ac:dyDescent="0.45">
      <c r="A51" s="9" t="s">
        <v>47</v>
      </c>
      <c r="B51" s="29">
        <v>-7.1423783375976324</v>
      </c>
      <c r="C51" s="29">
        <v>82.765574530200809</v>
      </c>
      <c r="D51" s="29">
        <v>44.961857384186274</v>
      </c>
      <c r="E51" s="3">
        <f>('GDP_Current%'!F51/'GDP_Current%'!E51-1)*100</f>
        <v>30.370730616132935</v>
      </c>
      <c r="F51" s="3">
        <f>('GDP_Current%'!G51/'GDP_Current%'!F51-1)*100</f>
        <v>48.803705582636248</v>
      </c>
      <c r="G51" s="3"/>
      <c r="H51" s="3"/>
      <c r="I51" s="3"/>
      <c r="J51" s="3"/>
      <c r="L51" s="2"/>
      <c r="M51" s="2"/>
      <c r="N51" s="2"/>
      <c r="O51" s="2"/>
    </row>
    <row r="52" spans="1:15" x14ac:dyDescent="0.45">
      <c r="A52" s="9" t="s">
        <v>48</v>
      </c>
      <c r="B52" s="29">
        <v>0.1423553135306399</v>
      </c>
      <c r="C52" s="29">
        <v>13.891130584173572</v>
      </c>
      <c r="D52" s="29">
        <v>19.976339360136741</v>
      </c>
      <c r="E52" s="3">
        <f>('GDP_Current%'!F52/'GDP_Current%'!E52-1)*100</f>
        <v>20.201233177648902</v>
      </c>
      <c r="F52" s="3">
        <f>('GDP_Current%'!G52/'GDP_Current%'!F52-1)*100</f>
        <v>21.58889110968607</v>
      </c>
      <c r="G52" s="3"/>
      <c r="H52" s="3"/>
      <c r="I52" s="3"/>
      <c r="J52" s="3"/>
      <c r="L52" s="2"/>
      <c r="M52" s="2"/>
      <c r="N52" s="2"/>
      <c r="O52" s="2"/>
    </row>
    <row r="53" spans="1:15" x14ac:dyDescent="0.45">
      <c r="A53" s="9" t="s">
        <v>49</v>
      </c>
      <c r="B53" s="29">
        <v>-3.0417457606739529</v>
      </c>
      <c r="C53" s="29">
        <v>-13.227151468135778</v>
      </c>
      <c r="D53" s="29">
        <v>1.8167333003758834</v>
      </c>
      <c r="E53" s="3">
        <f>('GDP_Current%'!F53/'GDP_Current%'!E53-1)*100</f>
        <v>11.73672279893767</v>
      </c>
      <c r="F53" s="3">
        <f>('GDP_Current%'!G53/'GDP_Current%'!F53-1)*100</f>
        <v>11.986626001447952</v>
      </c>
      <c r="G53" s="3"/>
      <c r="H53" s="3"/>
      <c r="I53" s="3"/>
      <c r="J53" s="3"/>
      <c r="L53" s="2"/>
      <c r="M53" s="2"/>
      <c r="N53" s="2"/>
      <c r="O53" s="2"/>
    </row>
    <row r="54" spans="1:15" x14ac:dyDescent="0.45">
      <c r="A54" s="9" t="s">
        <v>50</v>
      </c>
      <c r="B54" s="29">
        <v>19.623674959754787</v>
      </c>
      <c r="C54" s="29">
        <v>5.3694971644754341</v>
      </c>
      <c r="D54" s="29">
        <v>7.8485678694513394</v>
      </c>
      <c r="E54" s="3">
        <f>('GDP_Current%'!F54/'GDP_Current%'!E54-1)*100</f>
        <v>15.84727467709337</v>
      </c>
      <c r="F54" s="3">
        <f>('GDP_Current%'!G54/'GDP_Current%'!F54-1)*100</f>
        <v>20.136928208660663</v>
      </c>
      <c r="G54" s="3"/>
      <c r="H54" s="3"/>
      <c r="I54" s="3"/>
      <c r="J54" s="3"/>
      <c r="L54" s="2"/>
      <c r="M54" s="2"/>
      <c r="N54" s="2"/>
      <c r="O54" s="2"/>
    </row>
    <row r="55" spans="1:15" x14ac:dyDescent="0.45">
      <c r="A55" s="9" t="s">
        <v>51</v>
      </c>
      <c r="B55" s="29">
        <v>21.961606585707607</v>
      </c>
      <c r="C55" s="29">
        <v>-1.7714768121434021</v>
      </c>
      <c r="D55" s="29">
        <v>7.2129904002732115</v>
      </c>
      <c r="E55" s="3">
        <f>('GDP_Current%'!F55/'GDP_Current%'!E55-1)*100</f>
        <v>4.9545573639769414</v>
      </c>
      <c r="F55" s="3">
        <f>('GDP_Current%'!G55/'GDP_Current%'!F55-1)*100</f>
        <v>18.27735310561156</v>
      </c>
      <c r="G55" s="3"/>
      <c r="H55" s="3"/>
      <c r="I55" s="3"/>
      <c r="J55" s="3"/>
      <c r="L55" s="2"/>
      <c r="M55" s="2"/>
      <c r="N55" s="2"/>
      <c r="O55" s="2"/>
    </row>
    <row r="56" spans="1:15" x14ac:dyDescent="0.45">
      <c r="B56" s="29"/>
      <c r="C56" s="29"/>
      <c r="D56" s="29"/>
      <c r="E56" s="3"/>
      <c r="F56" s="3"/>
      <c r="G56" s="3"/>
      <c r="H56" s="3"/>
      <c r="I56" s="3"/>
      <c r="J56" s="3"/>
      <c r="L56" s="2"/>
      <c r="M56" s="2"/>
      <c r="N56" s="2"/>
      <c r="O56" s="2"/>
    </row>
    <row r="57" spans="1:15" s="1" customFormat="1" x14ac:dyDescent="0.45">
      <c r="A57" s="17" t="s">
        <v>79</v>
      </c>
      <c r="B57" s="24">
        <v>3.6037939998776469</v>
      </c>
      <c r="C57" s="24">
        <v>13.720154874780665</v>
      </c>
      <c r="D57" s="24">
        <v>12.647690185584914</v>
      </c>
      <c r="E57" s="4">
        <f>('GDP_Current%'!F57/'GDP_Current%'!E57-1)*100</f>
        <v>14.124341864149169</v>
      </c>
      <c r="F57" s="4">
        <f>('GDP_Current%'!G57/'GDP_Current%'!F57-1)*100</f>
        <v>17.805136786271113</v>
      </c>
      <c r="G57" s="4"/>
      <c r="H57" s="4"/>
      <c r="I57" s="4"/>
      <c r="J57" s="4"/>
      <c r="L57" s="2"/>
      <c r="M57" s="2"/>
      <c r="N57" s="2"/>
      <c r="O57" s="2"/>
    </row>
    <row r="58" spans="1:15" x14ac:dyDescent="0.45">
      <c r="A58" s="17"/>
      <c r="B58" s="29"/>
      <c r="C58" s="29"/>
      <c r="D58" s="29"/>
      <c r="E58" s="2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05E4-CDFD-4371-80F7-93EC588B26EA}">
  <dimension ref="A2:F63"/>
  <sheetViews>
    <sheetView topLeftCell="C40" workbookViewId="0">
      <selection activeCell="F62" sqref="F62"/>
    </sheetView>
  </sheetViews>
  <sheetFormatPr defaultRowHeight="14.25" x14ac:dyDescent="0.45"/>
  <cols>
    <col min="1" max="1" width="52.53125" style="9" customWidth="1"/>
    <col min="2" max="2" width="10" style="12" customWidth="1"/>
    <col min="3" max="5" width="9.06640625" style="12"/>
  </cols>
  <sheetData>
    <row r="2" spans="1:6" s="1" customFormat="1" x14ac:dyDescent="0.45">
      <c r="A2" s="30" t="s">
        <v>77</v>
      </c>
      <c r="B2" s="14">
        <v>2020</v>
      </c>
      <c r="C2" s="14" t="s">
        <v>54</v>
      </c>
      <c r="D2" s="14">
        <v>2022</v>
      </c>
      <c r="E2" s="14">
        <v>2023</v>
      </c>
      <c r="F2" s="14">
        <v>2024</v>
      </c>
    </row>
    <row r="3" spans="1:6" x14ac:dyDescent="0.45">
      <c r="B3" s="29"/>
      <c r="C3" s="29"/>
      <c r="D3" s="29"/>
      <c r="E3" s="29"/>
    </row>
    <row r="4" spans="1:6" x14ac:dyDescent="0.45">
      <c r="A4" s="9" t="s">
        <v>0</v>
      </c>
      <c r="B4" s="29"/>
      <c r="C4" s="29"/>
      <c r="D4" s="29"/>
      <c r="E4" s="29"/>
    </row>
    <row r="5" spans="1:6" x14ac:dyDescent="0.45">
      <c r="A5" s="9" t="s">
        <v>1</v>
      </c>
      <c r="B5" s="29">
        <v>3.6779607527821501</v>
      </c>
      <c r="C5" s="29">
        <v>4.1572366163514562</v>
      </c>
      <c r="D5" s="29">
        <v>2.0773752394999789</v>
      </c>
      <c r="E5" s="47">
        <f>('GDP_Current%'!F65/'GDP_Current%'!E65-1)*100</f>
        <v>3.9639508986597516</v>
      </c>
      <c r="F5" s="2">
        <f>('GDP_Current%'!G65/'GDP_Current%'!F65-1)*100</f>
        <v>2.9131425796889765</v>
      </c>
    </row>
    <row r="6" spans="1:6" x14ac:dyDescent="0.45">
      <c r="A6" s="9" t="s">
        <v>2</v>
      </c>
      <c r="B6" s="29">
        <v>0.70908892823589031</v>
      </c>
      <c r="C6" s="29">
        <v>3.3738716675227876</v>
      </c>
      <c r="D6" s="29">
        <v>2.7380453413294203</v>
      </c>
      <c r="E6" s="47">
        <f>('GDP_Current%'!F66/'GDP_Current%'!E66-1)*100</f>
        <v>-2.926607912624557</v>
      </c>
      <c r="F6" s="47">
        <f>('GDP_Current%'!G66/'GDP_Current%'!F66-1)*100</f>
        <v>-2.1413136272332878</v>
      </c>
    </row>
    <row r="7" spans="1:6" x14ac:dyDescent="0.45">
      <c r="A7" s="9" t="s">
        <v>3</v>
      </c>
      <c r="B7" s="29">
        <v>2.2119588664616163</v>
      </c>
      <c r="C7" s="29">
        <v>3.1796472042262103</v>
      </c>
      <c r="D7" s="29">
        <v>6.0877236581277971</v>
      </c>
      <c r="E7" s="47">
        <f>('GDP_Current%'!F67/'GDP_Current%'!E67-1)*100</f>
        <v>-17.97325763006117</v>
      </c>
      <c r="F7" s="47">
        <f>('GDP_Current%'!G67/'GDP_Current%'!F67-1)*100</f>
        <v>2.5282131792509821</v>
      </c>
    </row>
    <row r="8" spans="1:6" x14ac:dyDescent="0.45">
      <c r="A8" s="9" t="s">
        <v>4</v>
      </c>
      <c r="B8" s="29">
        <v>-2.6179647551984653</v>
      </c>
      <c r="C8" s="29">
        <v>0.48243064944997194</v>
      </c>
      <c r="D8" s="29">
        <v>3.0120278254512023</v>
      </c>
      <c r="E8" s="47">
        <f>('GDP_Current%'!F68/'GDP_Current%'!E68-1)*100</f>
        <v>2.248678916865976</v>
      </c>
      <c r="F8" s="47">
        <f>('GDP_Current%'!G68/'GDP_Current%'!F68-1)*100</f>
        <v>-0.60937180618426678</v>
      </c>
    </row>
    <row r="9" spans="1:6" x14ac:dyDescent="0.45">
      <c r="A9" s="9" t="s">
        <v>5</v>
      </c>
      <c r="B9" s="29"/>
      <c r="C9" s="29"/>
      <c r="D9" s="29"/>
      <c r="E9" s="47"/>
      <c r="F9" s="47"/>
    </row>
    <row r="10" spans="1:6" x14ac:dyDescent="0.45">
      <c r="A10" s="9" t="s">
        <v>6</v>
      </c>
      <c r="B10" s="29">
        <v>-27.989728496567412</v>
      </c>
      <c r="C10" s="29">
        <v>-39.050716618177439</v>
      </c>
      <c r="D10" s="29">
        <v>24.773128749374649</v>
      </c>
      <c r="E10" s="47">
        <f>('GDP_Current%'!F70/'GDP_Current%'!E70-1)*100</f>
        <v>4.4477428870834501</v>
      </c>
      <c r="F10" s="47">
        <f>('GDP_Current%'!G70/'GDP_Current%'!F70-1)*100</f>
        <v>5.5358763074148332</v>
      </c>
    </row>
    <row r="11" spans="1:6" x14ac:dyDescent="0.45">
      <c r="A11" s="9" t="s">
        <v>7</v>
      </c>
      <c r="B11" s="29">
        <v>-45.612962646944013</v>
      </c>
      <c r="C11" s="29">
        <v>-2.0146355131479332</v>
      </c>
      <c r="D11" s="29">
        <v>-4.1623525788636933</v>
      </c>
      <c r="E11" s="47">
        <f>('GDP_Current%'!F71/'GDP_Current%'!E71-1)*100</f>
        <v>-2.5071942834864691</v>
      </c>
      <c r="F11" s="47">
        <f>('GDP_Current%'!G71/'GDP_Current%'!F71-1)*100</f>
        <v>-10.586557890230097</v>
      </c>
    </row>
    <row r="12" spans="1:6" x14ac:dyDescent="0.45">
      <c r="A12" s="9" t="s">
        <v>8</v>
      </c>
      <c r="B12" s="29">
        <v>-78.098690572836517</v>
      </c>
      <c r="C12" s="29">
        <v>430.31064024878089</v>
      </c>
      <c r="D12" s="29">
        <v>35.323980278040644</v>
      </c>
      <c r="E12" s="47">
        <f>('GDP_Current%'!F72/'GDP_Current%'!E72-1)*100</f>
        <v>45.804872010171557</v>
      </c>
      <c r="F12" s="47">
        <f>('GDP_Current%'!G72/'GDP_Current%'!F72-1)*100</f>
        <v>75.23341540285746</v>
      </c>
    </row>
    <row r="13" spans="1:6" x14ac:dyDescent="0.45">
      <c r="A13" s="9" t="s">
        <v>9</v>
      </c>
      <c r="B13" s="29">
        <v>-28.430322610793191</v>
      </c>
      <c r="C13" s="29">
        <v>-0.79855924008153112</v>
      </c>
      <c r="D13" s="29">
        <v>2.841233268559562</v>
      </c>
      <c r="E13" s="47">
        <f>('GDP_Current%'!F73/'GDP_Current%'!E73-1)*100</f>
        <v>-9.3163230736963527</v>
      </c>
      <c r="F13" s="47">
        <f>('GDP_Current%'!G73/'GDP_Current%'!F73-1)*100</f>
        <v>-26.768940249800956</v>
      </c>
    </row>
    <row r="14" spans="1:6" x14ac:dyDescent="0.45">
      <c r="A14" s="9" t="s">
        <v>10</v>
      </c>
      <c r="B14" s="29"/>
      <c r="C14" s="29"/>
      <c r="D14" s="29"/>
      <c r="E14" s="47"/>
      <c r="F14" s="47"/>
    </row>
    <row r="15" spans="1:6" x14ac:dyDescent="0.45">
      <c r="A15" s="9" t="s">
        <v>11</v>
      </c>
      <c r="B15" s="29">
        <v>-65.800362894417106</v>
      </c>
      <c r="C15" s="29">
        <v>-44.810972275080488</v>
      </c>
      <c r="D15" s="29">
        <v>-39.971191066955612</v>
      </c>
      <c r="E15" s="47">
        <f>('GDP_Current%'!F75/'GDP_Current%'!E75-1)*100</f>
        <v>-27.27179304749302</v>
      </c>
      <c r="F15" s="47">
        <f>('GDP_Current%'!G75/'GDP_Current%'!F75-1)*100</f>
        <v>-14.667036657655396</v>
      </c>
    </row>
    <row r="16" spans="1:6" x14ac:dyDescent="0.45">
      <c r="A16" s="9" t="s">
        <v>12</v>
      </c>
      <c r="B16" s="29">
        <v>-9.2208596442423065</v>
      </c>
      <c r="C16" s="29">
        <v>3.187241703214827</v>
      </c>
      <c r="D16" s="29">
        <v>7.6851199364859291</v>
      </c>
      <c r="E16" s="47">
        <f>('GDP_Current%'!F76/'GDP_Current%'!E76-1)*100</f>
        <v>1.9483613702853564</v>
      </c>
      <c r="F16" s="47">
        <f>('GDP_Current%'!G76/'GDP_Current%'!F76-1)*100</f>
        <v>2.3727839833255882</v>
      </c>
    </row>
    <row r="17" spans="1:6" x14ac:dyDescent="0.45">
      <c r="A17" s="9" t="s">
        <v>13</v>
      </c>
      <c r="B17" s="29">
        <v>-21.202550565587241</v>
      </c>
      <c r="C17" s="29">
        <v>0.72921817816233858</v>
      </c>
      <c r="D17" s="29">
        <v>7.856827596279814</v>
      </c>
      <c r="E17" s="47">
        <f>('GDP_Current%'!F77/'GDP_Current%'!E77-1)*100</f>
        <v>6.4865862845438382</v>
      </c>
      <c r="F17" s="47">
        <f>('GDP_Current%'!G77/'GDP_Current%'!F77-1)*100</f>
        <v>2.5013048510055702</v>
      </c>
    </row>
    <row r="18" spans="1:6" x14ac:dyDescent="0.45">
      <c r="A18" s="9" t="s">
        <v>14</v>
      </c>
      <c r="B18" s="29">
        <v>-18.612668821024215</v>
      </c>
      <c r="C18" s="29">
        <v>10.823270435600719</v>
      </c>
      <c r="D18" s="29">
        <v>7.570689881775583</v>
      </c>
      <c r="E18" s="47">
        <f>('GDP_Current%'!F78/'GDP_Current%'!E78-1)*100</f>
        <v>7.189991169269061</v>
      </c>
      <c r="F18" s="47">
        <f>('GDP_Current%'!G78/'GDP_Current%'!F78-1)*100</f>
        <v>-1.5832292309215013</v>
      </c>
    </row>
    <row r="19" spans="1:6" x14ac:dyDescent="0.45">
      <c r="A19" s="9" t="s">
        <v>15</v>
      </c>
      <c r="B19" s="29">
        <v>-2.9274855763008256</v>
      </c>
      <c r="C19" s="29">
        <v>24.517895080033636</v>
      </c>
      <c r="D19" s="29">
        <v>12.167894056653461</v>
      </c>
      <c r="E19" s="47">
        <f>('GDP_Current%'!F79/'GDP_Current%'!E79-1)*100</f>
        <v>-18.462149070515899</v>
      </c>
      <c r="F19" s="47">
        <f>('GDP_Current%'!G79/'GDP_Current%'!F79-1)*100</f>
        <v>1.9393496469234828</v>
      </c>
    </row>
    <row r="20" spans="1:6" x14ac:dyDescent="0.45">
      <c r="A20" s="9" t="s">
        <v>16</v>
      </c>
      <c r="B20" s="29">
        <v>-19.155941153376467</v>
      </c>
      <c r="C20" s="29">
        <v>33.542921973760343</v>
      </c>
      <c r="D20" s="29">
        <v>-9.8116879833520798</v>
      </c>
      <c r="E20" s="47">
        <f>('GDP_Current%'!F80/'GDP_Current%'!E80-1)*100</f>
        <v>-8.2920001882672896</v>
      </c>
      <c r="F20" s="47">
        <f>('GDP_Current%'!G80/'GDP_Current%'!F80-1)*100</f>
        <v>8.3595038812922517E-2</v>
      </c>
    </row>
    <row r="21" spans="1:6" x14ac:dyDescent="0.45">
      <c r="A21" s="9" t="s">
        <v>17</v>
      </c>
      <c r="B21" s="29">
        <v>0.26650630165356848</v>
      </c>
      <c r="C21" s="29">
        <v>2.235721609157415</v>
      </c>
      <c r="D21" s="29">
        <v>10.685248254448476</v>
      </c>
      <c r="E21" s="47">
        <f>('GDP_Current%'!F81/'GDP_Current%'!E81-1)*100</f>
        <v>9.7609728075579874</v>
      </c>
      <c r="F21" s="47">
        <f>('GDP_Current%'!G81/'GDP_Current%'!F81-1)*100</f>
        <v>3.7317816546927451</v>
      </c>
    </row>
    <row r="22" spans="1:6" x14ac:dyDescent="0.45">
      <c r="A22" s="9" t="s">
        <v>18</v>
      </c>
      <c r="B22" s="29">
        <v>-27.478072055486081</v>
      </c>
      <c r="C22" s="29">
        <v>5.2534015468487461</v>
      </c>
      <c r="D22" s="29">
        <v>2.2123769034467999</v>
      </c>
      <c r="E22" s="47">
        <f>('GDP_Current%'!F82/'GDP_Current%'!E82-1)*100</f>
        <v>-0.91087068091046941</v>
      </c>
      <c r="F22" s="47">
        <f>('GDP_Current%'!G82/'GDP_Current%'!F82-1)*100</f>
        <v>1.9633609973818578</v>
      </c>
    </row>
    <row r="23" spans="1:6" x14ac:dyDescent="0.45">
      <c r="A23" s="9" t="s">
        <v>19</v>
      </c>
      <c r="B23" s="29">
        <v>-10.723284988189619</v>
      </c>
      <c r="C23" s="29">
        <v>2.3843923371720921</v>
      </c>
      <c r="D23" s="29">
        <v>1.5712154128457945</v>
      </c>
      <c r="E23" s="47">
        <f>('GDP_Current%'!F83/'GDP_Current%'!E83-1)*100</f>
        <v>-15.116909693901659</v>
      </c>
      <c r="F23" s="47">
        <f>('GDP_Current%'!G83/'GDP_Current%'!F83-1)*100</f>
        <v>0.17290707952895001</v>
      </c>
    </row>
    <row r="24" spans="1:6" x14ac:dyDescent="0.45">
      <c r="A24" s="9" t="s">
        <v>20</v>
      </c>
      <c r="B24" s="29">
        <v>-44.692731520788321</v>
      </c>
      <c r="C24" s="29">
        <v>18.665059115097993</v>
      </c>
      <c r="D24" s="29">
        <v>25.209123239323006</v>
      </c>
      <c r="E24" s="47">
        <f>('GDP_Current%'!F84/'GDP_Current%'!E84-1)*100</f>
        <v>7.1556289534267847</v>
      </c>
      <c r="F24" s="47">
        <f>('GDP_Current%'!G84/'GDP_Current%'!F84-1)*100</f>
        <v>1.2685983337562989</v>
      </c>
    </row>
    <row r="25" spans="1:6" x14ac:dyDescent="0.45">
      <c r="A25" s="9" t="s">
        <v>21</v>
      </c>
      <c r="B25" s="29">
        <v>-22.099412003420028</v>
      </c>
      <c r="C25" s="29">
        <v>23.627007635834762</v>
      </c>
      <c r="D25" s="29">
        <v>-6.989690806041482</v>
      </c>
      <c r="E25" s="47">
        <f>('GDP_Current%'!F85/'GDP_Current%'!E85-1)*100</f>
        <v>-7.5470485987126024</v>
      </c>
      <c r="F25" s="47">
        <f>('GDP_Current%'!G85/'GDP_Current%'!F85-1)*100</f>
        <v>0.61553458609069356</v>
      </c>
    </row>
    <row r="26" spans="1:6" x14ac:dyDescent="0.45">
      <c r="A26" s="9" t="s">
        <v>22</v>
      </c>
      <c r="B26" s="29">
        <v>-66.718435216660026</v>
      </c>
      <c r="C26" s="29">
        <v>68.083604676435812</v>
      </c>
      <c r="D26" s="29">
        <v>5.2158680322268891</v>
      </c>
      <c r="E26" s="47">
        <f>('GDP_Current%'!F86/'GDP_Current%'!E86-1)*100</f>
        <v>5.046143218761534</v>
      </c>
      <c r="F26" s="47">
        <f>('GDP_Current%'!G86/'GDP_Current%'!F86-1)*100</f>
        <v>2.3903344209923016</v>
      </c>
    </row>
    <row r="27" spans="1:6" x14ac:dyDescent="0.45">
      <c r="A27" s="9" t="s">
        <v>23</v>
      </c>
      <c r="B27" s="29">
        <v>-41.610692266361347</v>
      </c>
      <c r="C27" s="29">
        <v>8.6586507150749661</v>
      </c>
      <c r="D27" s="29">
        <v>6.783226869931358</v>
      </c>
      <c r="E27" s="47">
        <f>('GDP_Current%'!F87/'GDP_Current%'!E87-1)*100</f>
        <v>-10.764279611507222</v>
      </c>
      <c r="F27" s="47">
        <f>('GDP_Current%'!G87/'GDP_Current%'!F87-1)*100</f>
        <v>0.89670976942270997</v>
      </c>
    </row>
    <row r="28" spans="1:6" x14ac:dyDescent="0.45">
      <c r="A28" s="9" t="s">
        <v>24</v>
      </c>
      <c r="B28" s="29">
        <v>-14.621823263522716</v>
      </c>
      <c r="C28" s="29">
        <v>58.468049398139968</v>
      </c>
      <c r="D28" s="29">
        <v>-9.3636003809400403</v>
      </c>
      <c r="E28" s="47">
        <f>('GDP_Current%'!F88/'GDP_Current%'!E88-1)*100</f>
        <v>21.943144170904084</v>
      </c>
      <c r="F28" s="47">
        <f>('GDP_Current%'!G88/'GDP_Current%'!F88-1)*100</f>
        <v>0.56418357148322329</v>
      </c>
    </row>
    <row r="29" spans="1:6" x14ac:dyDescent="0.45">
      <c r="A29" s="9" t="s">
        <v>25</v>
      </c>
      <c r="B29" s="29">
        <v>-9.4161546283689557</v>
      </c>
      <c r="C29" s="29">
        <v>11.621039534687959</v>
      </c>
      <c r="D29" s="29">
        <v>0.8755700847953074</v>
      </c>
      <c r="E29" s="47">
        <f>('GDP_Current%'!F89/'GDP_Current%'!E89-1)*100</f>
        <v>7.5491939703123734</v>
      </c>
      <c r="F29" s="47">
        <f>('GDP_Current%'!G89/'GDP_Current%'!F89-1)*100</f>
        <v>8.6047000551359609</v>
      </c>
    </row>
    <row r="30" spans="1:6" x14ac:dyDescent="0.45">
      <c r="A30" s="9" t="s">
        <v>26</v>
      </c>
      <c r="B30" s="29">
        <v>-22.566848133611529</v>
      </c>
      <c r="C30" s="29">
        <v>-15.70269009878672</v>
      </c>
      <c r="D30" s="29">
        <v>11.902064254578537</v>
      </c>
      <c r="E30" s="47">
        <f>('GDP_Current%'!F90/'GDP_Current%'!E90-1)*100</f>
        <v>4.2788640021357738</v>
      </c>
      <c r="F30" s="47">
        <f>('GDP_Current%'!G90/'GDP_Current%'!F90-1)*100</f>
        <v>4.1645629516022575</v>
      </c>
    </row>
    <row r="31" spans="1:6" x14ac:dyDescent="0.45">
      <c r="A31" s="9" t="s">
        <v>27</v>
      </c>
      <c r="B31" s="29">
        <v>-1.3428869923317599</v>
      </c>
      <c r="C31" s="29">
        <v>1.0817788019496843</v>
      </c>
      <c r="D31" s="29">
        <v>2.2510569203821662</v>
      </c>
      <c r="E31" s="47">
        <f>('GDP_Current%'!F91/'GDP_Current%'!E91-1)*100</f>
        <v>2.1778902286072155</v>
      </c>
      <c r="F31" s="47">
        <f>('GDP_Current%'!G91/'GDP_Current%'!F91-1)*100</f>
        <v>1.9662445333750167</v>
      </c>
    </row>
    <row r="32" spans="1:6" x14ac:dyDescent="0.45">
      <c r="A32" s="9" t="s">
        <v>28</v>
      </c>
      <c r="B32" s="29">
        <v>-38.313665720703661</v>
      </c>
      <c r="C32" s="29">
        <v>-21.396564252824881</v>
      </c>
      <c r="D32" s="29">
        <v>8.5641693114372188</v>
      </c>
      <c r="E32" s="47">
        <f>('GDP_Current%'!F92/'GDP_Current%'!E92-1)*100</f>
        <v>4.9798918696270622</v>
      </c>
      <c r="F32" s="47">
        <f>('GDP_Current%'!G92/'GDP_Current%'!F92-1)*100</f>
        <v>3.7167309374037449</v>
      </c>
    </row>
    <row r="33" spans="1:6" x14ac:dyDescent="0.45">
      <c r="A33" s="9" t="s">
        <v>29</v>
      </c>
      <c r="B33" s="29"/>
      <c r="C33" s="29"/>
      <c r="D33" s="29"/>
      <c r="E33" s="47"/>
      <c r="F33" s="47"/>
    </row>
    <row r="34" spans="1:6" x14ac:dyDescent="0.45">
      <c r="A34" s="9" t="s">
        <v>30</v>
      </c>
      <c r="B34" s="29">
        <v>-51.05820019811992</v>
      </c>
      <c r="C34" s="29">
        <v>-17.599318685629971</v>
      </c>
      <c r="D34" s="29">
        <v>2.3937527933744152</v>
      </c>
      <c r="E34" s="47">
        <f>('GDP_Current%'!F94/'GDP_Current%'!E94-1)*100</f>
        <v>-18.521218091207313</v>
      </c>
      <c r="F34" s="47">
        <f>('GDP_Current%'!G94/'GDP_Current%'!F94-1)*100</f>
        <v>9.8935208108760442</v>
      </c>
    </row>
    <row r="35" spans="1:6" x14ac:dyDescent="0.45">
      <c r="A35" s="9" t="s">
        <v>31</v>
      </c>
      <c r="B35" s="29">
        <v>-10.355841898940877</v>
      </c>
      <c r="C35" s="29">
        <v>-10.932824275563146</v>
      </c>
      <c r="D35" s="29">
        <v>3.3972224341472623</v>
      </c>
      <c r="E35" s="47">
        <f>('GDP_Current%'!F95/'GDP_Current%'!E95-1)*100</f>
        <v>3.4344502810821576</v>
      </c>
      <c r="F35" s="47">
        <f>('GDP_Current%'!G95/'GDP_Current%'!F95-1)*100</f>
        <v>44.13713861926125</v>
      </c>
    </row>
    <row r="36" spans="1:6" x14ac:dyDescent="0.45">
      <c r="A36" s="9" t="s">
        <v>32</v>
      </c>
      <c r="B36" s="29">
        <v>-30.011296543911502</v>
      </c>
      <c r="C36" s="29">
        <v>5.6901982458076761</v>
      </c>
      <c r="D36" s="29">
        <v>12.314851762743606</v>
      </c>
      <c r="E36" s="47">
        <f>('GDP_Current%'!F96/'GDP_Current%'!E96-1)*100</f>
        <v>3.4216323512204383</v>
      </c>
      <c r="F36" s="47">
        <f>('GDP_Current%'!G96/'GDP_Current%'!F96-1)*100</f>
        <v>12.578582151978711</v>
      </c>
    </row>
    <row r="37" spans="1:6" x14ac:dyDescent="0.45">
      <c r="A37" s="9" t="s">
        <v>33</v>
      </c>
      <c r="B37" s="29">
        <v>-64.679128444019085</v>
      </c>
      <c r="C37" s="29">
        <v>25.211974801932023</v>
      </c>
      <c r="D37" s="29">
        <v>14.148461829416291</v>
      </c>
      <c r="E37" s="47">
        <f>('GDP_Current%'!F97/'GDP_Current%'!E97-1)*100</f>
        <v>2.2916519561200221</v>
      </c>
      <c r="F37" s="47">
        <f>('GDP_Current%'!G97/'GDP_Current%'!F97-1)*100</f>
        <v>-7.9111873509646102</v>
      </c>
    </row>
    <row r="38" spans="1:6" x14ac:dyDescent="0.45">
      <c r="A38" s="9" t="s">
        <v>34</v>
      </c>
      <c r="B38" s="29">
        <v>-83.24014418097822</v>
      </c>
      <c r="C38" s="29">
        <v>-14.984096713413974</v>
      </c>
      <c r="D38" s="29">
        <v>3.486583309594371</v>
      </c>
      <c r="E38" s="47">
        <f>('GDP_Current%'!F98/'GDP_Current%'!E98-1)*100</f>
        <v>2.7060972964906505</v>
      </c>
      <c r="F38" s="47">
        <f>('GDP_Current%'!G98/'GDP_Current%'!F98-1)*100</f>
        <v>3.5320873838809552</v>
      </c>
    </row>
    <row r="39" spans="1:6" x14ac:dyDescent="0.45">
      <c r="A39" s="9" t="s">
        <v>35</v>
      </c>
      <c r="B39" s="29">
        <v>17.087042265630359</v>
      </c>
      <c r="C39" s="29">
        <v>58.338039977832956</v>
      </c>
      <c r="D39" s="29">
        <v>27.764412554936555</v>
      </c>
      <c r="E39" s="47">
        <f>('GDP_Current%'!F99/'GDP_Current%'!E99-1)*100</f>
        <v>15.096285428262757</v>
      </c>
      <c r="F39" s="47">
        <f>('GDP_Current%'!G99/'GDP_Current%'!F99-1)*100</f>
        <v>2.2850234318221307</v>
      </c>
    </row>
    <row r="40" spans="1:6" x14ac:dyDescent="0.45">
      <c r="A40" s="9" t="s">
        <v>36</v>
      </c>
      <c r="B40" s="29"/>
      <c r="C40" s="29"/>
      <c r="D40" s="29"/>
      <c r="E40" s="47"/>
      <c r="F40" s="47"/>
    </row>
    <row r="41" spans="1:6" x14ac:dyDescent="0.45">
      <c r="A41" s="9" t="s">
        <v>37</v>
      </c>
      <c r="B41" s="29">
        <v>8.266249772947587</v>
      </c>
      <c r="C41" s="29">
        <v>1.8367686101291802</v>
      </c>
      <c r="D41" s="29">
        <v>3.6559913127978128</v>
      </c>
      <c r="E41" s="47">
        <f>('GDP_Current%'!F101/'GDP_Current%'!E101-1)*100</f>
        <v>2.1906039446099923</v>
      </c>
      <c r="F41" s="47">
        <f>('GDP_Current%'!G101/'GDP_Current%'!F101-1)*100</f>
        <v>6.2457567891949006</v>
      </c>
    </row>
    <row r="42" spans="1:6" x14ac:dyDescent="0.45">
      <c r="A42" s="9" t="s">
        <v>38</v>
      </c>
      <c r="B42" s="29">
        <v>-15.794530315859046</v>
      </c>
      <c r="C42" s="29">
        <v>-13.854647021380339</v>
      </c>
      <c r="D42" s="29">
        <v>-13.726315304524928</v>
      </c>
      <c r="E42" s="47">
        <f>('GDP_Current%'!F102/'GDP_Current%'!E102-1)*100</f>
        <v>21.554013480401622</v>
      </c>
      <c r="F42" s="47">
        <f>('GDP_Current%'!G102/'GDP_Current%'!F102-1)*100</f>
        <v>1.175532858139583</v>
      </c>
    </row>
    <row r="43" spans="1:6" x14ac:dyDescent="0.45">
      <c r="A43" s="9" t="s">
        <v>39</v>
      </c>
      <c r="B43" s="29">
        <v>-4.9796343183432175</v>
      </c>
      <c r="C43" s="29">
        <v>-1.8834659134367437</v>
      </c>
      <c r="D43" s="29">
        <v>6.4654675557199948</v>
      </c>
      <c r="E43" s="47">
        <f>('GDP_Current%'!F103/'GDP_Current%'!E103-1)*100</f>
        <v>3.8786242841540863</v>
      </c>
      <c r="F43" s="47">
        <f>('GDP_Current%'!G103/'GDP_Current%'!F103-1)*100</f>
        <v>3.0925173898027847</v>
      </c>
    </row>
    <row r="44" spans="1:6" x14ac:dyDescent="0.45">
      <c r="A44" s="9" t="s">
        <v>40</v>
      </c>
      <c r="B44" s="29">
        <v>-10.821966885933454</v>
      </c>
      <c r="C44" s="29">
        <v>-5.2983955296814766E-2</v>
      </c>
      <c r="D44" s="29">
        <v>4.0608596735705937</v>
      </c>
      <c r="E44" s="47">
        <f>('GDP_Current%'!F104/'GDP_Current%'!E104-1)*100</f>
        <v>6.3604714680122632</v>
      </c>
      <c r="F44" s="47">
        <f>('GDP_Current%'!G104/'GDP_Current%'!F104-1)*100</f>
        <v>2.2119298985048053</v>
      </c>
    </row>
    <row r="45" spans="1:6" x14ac:dyDescent="0.45">
      <c r="A45" s="9" t="s">
        <v>41</v>
      </c>
      <c r="B45" s="29">
        <v>-28.64520067308408</v>
      </c>
      <c r="C45" s="29">
        <v>-25.961506507539301</v>
      </c>
      <c r="D45" s="29">
        <v>-7.1295869440743731</v>
      </c>
      <c r="E45" s="47">
        <f>('GDP_Current%'!F105/'GDP_Current%'!E105-1)*100</f>
        <v>8.0716677186842603</v>
      </c>
      <c r="F45" s="47">
        <f>('GDP_Current%'!G105/'GDP_Current%'!F105-1)*100</f>
        <v>8.8320530128502384</v>
      </c>
    </row>
    <row r="46" spans="1:6" x14ac:dyDescent="0.45">
      <c r="A46" s="9" t="s">
        <v>42</v>
      </c>
      <c r="B46" s="29"/>
      <c r="C46" s="29"/>
      <c r="D46" s="29"/>
      <c r="E46" s="47"/>
      <c r="F46" s="47"/>
    </row>
    <row r="47" spans="1:6" x14ac:dyDescent="0.45">
      <c r="A47" s="9" t="s">
        <v>43</v>
      </c>
      <c r="B47" s="29">
        <v>5.0941756760267021</v>
      </c>
      <c r="C47" s="29">
        <v>1.6359386557880384</v>
      </c>
      <c r="D47" s="29">
        <v>2.7065288639389395</v>
      </c>
      <c r="E47" s="47">
        <f>('GDP_Current%'!F107/'GDP_Current%'!E107-1)*100</f>
        <v>2.2861475027065259</v>
      </c>
      <c r="F47" s="47">
        <f>('GDP_Current%'!G107/'GDP_Current%'!F107-1)*100</f>
        <v>2.8889718968076128</v>
      </c>
    </row>
    <row r="48" spans="1:6" x14ac:dyDescent="0.45">
      <c r="A48" s="9" t="s">
        <v>44</v>
      </c>
      <c r="B48" s="29">
        <v>-33.272479124422574</v>
      </c>
      <c r="C48" s="29">
        <v>30.364781651839333</v>
      </c>
      <c r="D48" s="29">
        <v>8.9883538265497442</v>
      </c>
      <c r="E48" s="47">
        <f>('GDP_Current%'!F108/'GDP_Current%'!E108-1)*100</f>
        <v>2.6007208637442547</v>
      </c>
      <c r="F48" s="47">
        <f>('GDP_Current%'!G108/'GDP_Current%'!F108-1)*100</f>
        <v>3.4243754876191135</v>
      </c>
    </row>
    <row r="49" spans="1:6" x14ac:dyDescent="0.45">
      <c r="A49" s="9" t="s">
        <v>45</v>
      </c>
      <c r="B49" s="29">
        <v>-3.4533367437688089</v>
      </c>
      <c r="C49" s="29">
        <v>14.278137065865714</v>
      </c>
      <c r="D49" s="29">
        <v>4.27284246052686</v>
      </c>
      <c r="E49" s="47">
        <f>('GDP_Current%'!F109/'GDP_Current%'!E109-1)*100</f>
        <v>7.2461583382942063</v>
      </c>
      <c r="F49" s="47">
        <f>('GDP_Current%'!G109/'GDP_Current%'!F109-1)*100</f>
        <v>6.588586842522437</v>
      </c>
    </row>
    <row r="50" spans="1:6" x14ac:dyDescent="0.45">
      <c r="A50" s="9" t="s">
        <v>46</v>
      </c>
      <c r="B50" s="29">
        <v>-11.111082384757564</v>
      </c>
      <c r="C50" s="29">
        <v>-7.8515590726582989</v>
      </c>
      <c r="D50" s="29">
        <v>-0.90339099925621502</v>
      </c>
      <c r="E50" s="47">
        <f>('GDP_Current%'!F110/'GDP_Current%'!E110-1)*100</f>
        <v>5.4129940345806205</v>
      </c>
      <c r="F50" s="47">
        <f>('GDP_Current%'!G110/'GDP_Current%'!F110-1)*100</f>
        <v>5.5480650278490806</v>
      </c>
    </row>
    <row r="51" spans="1:6" x14ac:dyDescent="0.45">
      <c r="A51" s="9" t="s">
        <v>47</v>
      </c>
      <c r="B51" s="29">
        <v>-18.003635931888851</v>
      </c>
      <c r="C51" s="29">
        <v>76.232040357045889</v>
      </c>
      <c r="D51" s="29">
        <v>42.579885385510231</v>
      </c>
      <c r="E51" s="47">
        <f>('GDP_Current%'!F111/'GDP_Current%'!E111-1)*100</f>
        <v>23.330985559955209</v>
      </c>
      <c r="F51" s="47">
        <f>('GDP_Current%'!G111/'GDP_Current%'!F111-1)*100</f>
        <v>21.069406216162712</v>
      </c>
    </row>
    <row r="52" spans="1:6" x14ac:dyDescent="0.45">
      <c r="A52" s="9" t="s">
        <v>48</v>
      </c>
      <c r="B52" s="29">
        <v>-3.0060897370095541</v>
      </c>
      <c r="C52" s="29">
        <v>1.8568379455334627</v>
      </c>
      <c r="D52" s="29">
        <v>5.4027166322089037</v>
      </c>
      <c r="E52" s="47">
        <f>('GDP_Current%'!F112/'GDP_Current%'!E112-1)*100</f>
        <v>3.0870183620379299</v>
      </c>
      <c r="F52" s="47">
        <f>('GDP_Current%'!G112/'GDP_Current%'!F112-1)*100</f>
        <v>2.2863479269359166</v>
      </c>
    </row>
    <row r="53" spans="1:6" x14ac:dyDescent="0.45">
      <c r="A53" s="9" t="s">
        <v>49</v>
      </c>
      <c r="B53" s="29">
        <v>-38.612644263760401</v>
      </c>
      <c r="C53" s="29">
        <v>-19.924131716893566</v>
      </c>
      <c r="D53" s="29">
        <v>-2.1748591090603897</v>
      </c>
      <c r="E53" s="47">
        <f>('GDP_Current%'!F113/'GDP_Current%'!E113-1)*100</f>
        <v>0.57723416516752835</v>
      </c>
      <c r="F53" s="47">
        <f>('GDP_Current%'!G113/'GDP_Current%'!F113-1)*100</f>
        <v>1.999398173750877</v>
      </c>
    </row>
    <row r="54" spans="1:6" x14ac:dyDescent="0.45">
      <c r="A54" s="9" t="s">
        <v>50</v>
      </c>
      <c r="B54" s="29">
        <v>3.1727827767754402</v>
      </c>
      <c r="C54" s="29">
        <v>1.6780568605500257</v>
      </c>
      <c r="D54" s="29">
        <v>4.38763754904683</v>
      </c>
      <c r="E54" s="47">
        <f>('GDP_Current%'!F114/'GDP_Current%'!E114-1)*100</f>
        <v>0.6349012331523074</v>
      </c>
      <c r="F54" s="47">
        <f>('GDP_Current%'!G114/'GDP_Current%'!F114-1)*100</f>
        <v>2.9608492553724997</v>
      </c>
    </row>
    <row r="55" spans="1:6" x14ac:dyDescent="0.45">
      <c r="A55" s="9" t="s">
        <v>51</v>
      </c>
      <c r="B55" s="29">
        <v>-6.1436654805416708</v>
      </c>
      <c r="C55" s="29">
        <v>-8.9268333537207525</v>
      </c>
      <c r="D55" s="29">
        <v>1.4349129130363014</v>
      </c>
      <c r="E55" s="47">
        <f>('GDP_Current%'!F115/'GDP_Current%'!E115-1)*100</f>
        <v>-1.536143153728764</v>
      </c>
      <c r="F55" s="47">
        <f>('GDP_Current%'!G115/'GDP_Current%'!F115-1)*100</f>
        <v>-1.173601764790122</v>
      </c>
    </row>
    <row r="56" spans="1:6" x14ac:dyDescent="0.45">
      <c r="B56" s="29"/>
      <c r="C56" s="29"/>
      <c r="D56" s="29"/>
      <c r="E56" s="47"/>
      <c r="F56" s="47"/>
    </row>
    <row r="57" spans="1:6" s="1" customFormat="1" x14ac:dyDescent="0.45">
      <c r="A57" s="17" t="s">
        <v>78</v>
      </c>
      <c r="B57" s="24">
        <v>-6.9550764891977863</v>
      </c>
      <c r="C57" s="24">
        <v>0.94546936552950545</v>
      </c>
      <c r="D57" s="24">
        <v>4.3205689977748873</v>
      </c>
      <c r="E57" s="49">
        <f>('GDP_Current%'!F117/'GDP_Current%'!E117-1)*100</f>
        <v>3.0432261800884097</v>
      </c>
      <c r="F57" s="49">
        <f>('GDP_Current%'!G117/'GDP_Current%'!F117-1)*100</f>
        <v>3.3812887942430647</v>
      </c>
    </row>
    <row r="63" spans="1:6" x14ac:dyDescent="0.45">
      <c r="A63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A48D-AF85-4B35-8EE4-BA04E76DDE4A}">
  <dimension ref="A1:G83"/>
  <sheetViews>
    <sheetView tabSelected="1" zoomScale="60" zoomScaleNormal="60" workbookViewId="0">
      <selection activeCell="C19" sqref="C19:G26"/>
    </sheetView>
  </sheetViews>
  <sheetFormatPr defaultColWidth="8.796875" defaultRowHeight="20.25" x14ac:dyDescent="0.55000000000000004"/>
  <cols>
    <col min="1" max="1" width="67.33203125" style="33" customWidth="1"/>
    <col min="2" max="6" width="12" style="33" bestFit="1" customWidth="1"/>
    <col min="7" max="7" width="14.33203125" style="6" customWidth="1"/>
    <col min="8" max="16384" width="8.796875" style="6"/>
  </cols>
  <sheetData>
    <row r="1" spans="1:7" ht="20.65" x14ac:dyDescent="0.6">
      <c r="A1" s="32" t="s">
        <v>77</v>
      </c>
    </row>
    <row r="2" spans="1:7" ht="20.65" x14ac:dyDescent="0.6">
      <c r="B2" s="34">
        <v>2019</v>
      </c>
      <c r="C2" s="34">
        <v>2020</v>
      </c>
      <c r="D2" s="34">
        <v>2021</v>
      </c>
      <c r="E2" s="34">
        <v>2022</v>
      </c>
      <c r="F2" s="34">
        <v>2023</v>
      </c>
      <c r="G2" s="34">
        <v>2024</v>
      </c>
    </row>
    <row r="3" spans="1:7" ht="20.65" hidden="1" x14ac:dyDescent="0.6">
      <c r="B3" s="35"/>
      <c r="C3" s="35"/>
      <c r="D3" s="35"/>
      <c r="E3" s="35"/>
    </row>
    <row r="4" spans="1:7" hidden="1" x14ac:dyDescent="0.55000000000000004">
      <c r="B4" s="36"/>
      <c r="C4" s="36"/>
      <c r="D4" s="36"/>
      <c r="E4" s="36"/>
    </row>
    <row r="5" spans="1:7" ht="20.65" x14ac:dyDescent="0.6">
      <c r="A5" s="37" t="s">
        <v>57</v>
      </c>
      <c r="B5" s="36"/>
      <c r="C5" s="36"/>
      <c r="D5" s="36"/>
      <c r="E5" s="36"/>
    </row>
    <row r="6" spans="1:7" hidden="1" x14ac:dyDescent="0.55000000000000004">
      <c r="B6" s="36"/>
      <c r="C6" s="36"/>
      <c r="D6" s="36"/>
      <c r="E6" s="36"/>
    </row>
    <row r="7" spans="1:7" x14ac:dyDescent="0.55000000000000004">
      <c r="A7" s="33" t="s">
        <v>0</v>
      </c>
      <c r="B7" s="38">
        <v>25.828933916826575</v>
      </c>
      <c r="C7" s="38">
        <v>28.496775570718945</v>
      </c>
      <c r="D7" s="38">
        <v>29.296357538460505</v>
      </c>
      <c r="E7" s="38">
        <v>28.774687836810607</v>
      </c>
      <c r="F7" s="38">
        <v>28.270958932086891</v>
      </c>
      <c r="G7" s="38">
        <v>27.808273131565528</v>
      </c>
    </row>
    <row r="8" spans="1:7" x14ac:dyDescent="0.55000000000000004">
      <c r="A8" s="33" t="s">
        <v>58</v>
      </c>
      <c r="B8" s="38">
        <v>21.080763513819477</v>
      </c>
      <c r="C8" s="38">
        <v>17.509552818442945</v>
      </c>
      <c r="D8" s="38">
        <v>15.729374426524471</v>
      </c>
      <c r="E8" s="38">
        <v>16.609463180181113</v>
      </c>
      <c r="F8" s="38">
        <v>16.76580943394756</v>
      </c>
      <c r="G8" s="38">
        <v>16.672167431350811</v>
      </c>
    </row>
    <row r="9" spans="1:7" x14ac:dyDescent="0.55000000000000004">
      <c r="A9" s="33" t="s">
        <v>59</v>
      </c>
      <c r="B9" s="38">
        <v>53.090302569353945</v>
      </c>
      <c r="C9" s="38">
        <v>53.993671610838099</v>
      </c>
      <c r="D9" s="38">
        <v>54.974268035015029</v>
      </c>
      <c r="E9" s="38">
        <v>54.615848983008284</v>
      </c>
      <c r="F9" s="38">
        <v>54.963231633965549</v>
      </c>
      <c r="G9" s="38">
        <v>55.519559437083629</v>
      </c>
    </row>
    <row r="10" spans="1:7" x14ac:dyDescent="0.55000000000000004">
      <c r="A10" s="33" t="s">
        <v>67</v>
      </c>
      <c r="B10" s="38">
        <v>100</v>
      </c>
      <c r="C10" s="38">
        <v>100</v>
      </c>
      <c r="D10" s="38">
        <v>100</v>
      </c>
      <c r="E10" s="38">
        <v>100</v>
      </c>
      <c r="F10" s="38">
        <v>100</v>
      </c>
      <c r="G10" s="38">
        <v>100</v>
      </c>
    </row>
    <row r="11" spans="1:7" x14ac:dyDescent="0.55000000000000004">
      <c r="B11" s="38"/>
      <c r="C11" s="36"/>
      <c r="D11" s="38"/>
      <c r="E11" s="38"/>
      <c r="F11" s="39"/>
      <c r="G11" s="38"/>
    </row>
    <row r="12" spans="1:7" ht="20.65" x14ac:dyDescent="0.6">
      <c r="A12" s="37" t="s">
        <v>60</v>
      </c>
      <c r="B12" s="38">
        <v>94.150819041530369</v>
      </c>
      <c r="C12" s="38">
        <v>95.473142510099379</v>
      </c>
      <c r="D12" s="38">
        <v>97.266754796275222</v>
      </c>
      <c r="E12" s="38">
        <v>96.730888654228536</v>
      </c>
      <c r="F12" s="38">
        <f>100-F13</f>
        <v>96.686329475790743</v>
      </c>
      <c r="G12" s="38">
        <f>100-G13</f>
        <v>96.617268689090395</v>
      </c>
    </row>
    <row r="13" spans="1:7" ht="20.65" x14ac:dyDescent="0.6">
      <c r="A13" s="37" t="s">
        <v>61</v>
      </c>
      <c r="B13" s="38">
        <v>5.8491809584696348</v>
      </c>
      <c r="C13" s="38">
        <v>4.5268574899006317</v>
      </c>
      <c r="D13" s="38">
        <v>2.7332452037247741</v>
      </c>
      <c r="E13" s="38">
        <v>3.2691113457714764</v>
      </c>
      <c r="F13" s="40">
        <v>3.3136705242092566</v>
      </c>
      <c r="G13" s="38">
        <v>3.3827313109096075</v>
      </c>
    </row>
    <row r="14" spans="1:7" x14ac:dyDescent="0.55000000000000004">
      <c r="B14" s="38">
        <v>100</v>
      </c>
      <c r="C14" s="38">
        <v>100.00000000000001</v>
      </c>
      <c r="D14" s="38">
        <v>100</v>
      </c>
      <c r="E14" s="38">
        <v>100.00000000000001</v>
      </c>
      <c r="F14" s="38">
        <v>100.00000000000001</v>
      </c>
      <c r="G14" s="38">
        <v>100.00000000000001</v>
      </c>
    </row>
    <row r="15" spans="1:7" hidden="1" x14ac:dyDescent="0.55000000000000004">
      <c r="B15" s="36"/>
      <c r="C15" s="36"/>
      <c r="D15" s="40"/>
      <c r="E15" s="36"/>
      <c r="F15" s="39"/>
      <c r="G15" s="7"/>
    </row>
    <row r="16" spans="1:7" x14ac:dyDescent="0.55000000000000004">
      <c r="B16" s="36"/>
      <c r="C16" s="36"/>
      <c r="D16" s="40"/>
      <c r="E16" s="36"/>
      <c r="F16" s="39"/>
      <c r="G16" s="7"/>
    </row>
    <row r="17" spans="1:7" ht="20.65" x14ac:dyDescent="0.6">
      <c r="A17" s="37" t="s">
        <v>62</v>
      </c>
      <c r="B17" s="34"/>
      <c r="C17" s="34">
        <v>2020</v>
      </c>
      <c r="D17" s="34">
        <v>2021</v>
      </c>
      <c r="E17" s="34">
        <v>2022</v>
      </c>
      <c r="F17" s="34">
        <v>2023</v>
      </c>
      <c r="G17" s="34">
        <v>2024</v>
      </c>
    </row>
    <row r="18" spans="1:7" x14ac:dyDescent="0.55000000000000004">
      <c r="B18" s="36"/>
      <c r="C18" s="36"/>
      <c r="D18" s="40"/>
      <c r="E18" s="36"/>
      <c r="F18" s="39"/>
      <c r="G18" s="7"/>
    </row>
    <row r="19" spans="1:7" x14ac:dyDescent="0.55000000000000004">
      <c r="A19" s="33" t="s">
        <v>0</v>
      </c>
      <c r="B19" s="38"/>
      <c r="C19" s="40">
        <v>2.6554294428196012</v>
      </c>
      <c r="D19" s="40">
        <v>3.7778662038869593</v>
      </c>
      <c r="E19" s="40">
        <v>2.4629701466694964</v>
      </c>
      <c r="F19" s="40">
        <v>1.2393542577493477</v>
      </c>
      <c r="G19" s="38">
        <v>1.6893386032502455</v>
      </c>
    </row>
    <row r="20" spans="1:7" x14ac:dyDescent="0.55000000000000004">
      <c r="A20" s="33" t="s">
        <v>58</v>
      </c>
      <c r="B20" s="38"/>
      <c r="C20" s="40">
        <v>-22.717457475751768</v>
      </c>
      <c r="D20" s="40">
        <v>-9.3175536362517306</v>
      </c>
      <c r="E20" s="40">
        <v>10.157505487453822</v>
      </c>
      <c r="F20" s="40">
        <v>4.0131806099515499</v>
      </c>
      <c r="G20" s="38">
        <v>2.8038737310535966</v>
      </c>
    </row>
    <row r="21" spans="1:7" x14ac:dyDescent="0.55000000000000004">
      <c r="A21" s="33" t="s">
        <v>59</v>
      </c>
      <c r="B21" s="38"/>
      <c r="C21" s="40">
        <v>-5.3718513181391874</v>
      </c>
      <c r="D21" s="40">
        <v>2.778772479460212</v>
      </c>
      <c r="E21" s="40">
        <v>3.640423890227984</v>
      </c>
      <c r="F21" s="40">
        <v>3.6986298722431421</v>
      </c>
      <c r="G21" s="38">
        <v>4.4276953385568696</v>
      </c>
    </row>
    <row r="22" spans="1:7" hidden="1" x14ac:dyDescent="0.55000000000000004">
      <c r="B22" s="38"/>
      <c r="C22" s="36"/>
      <c r="D22" s="38"/>
      <c r="E22" s="38"/>
      <c r="F22" s="39"/>
      <c r="G22" s="38"/>
    </row>
    <row r="23" spans="1:7" s="8" customFormat="1" ht="20.65" x14ac:dyDescent="0.6">
      <c r="A23" s="35" t="s">
        <v>63</v>
      </c>
      <c r="B23" s="38"/>
      <c r="C23" s="40">
        <v>-6.9550764891977863</v>
      </c>
      <c r="D23" s="40">
        <v>0.94546936552950545</v>
      </c>
      <c r="E23" s="40">
        <v>4.3205689977748873</v>
      </c>
      <c r="F23" s="40">
        <v>3.0432261800884097</v>
      </c>
      <c r="G23" s="40">
        <v>3.3812887942430647</v>
      </c>
    </row>
    <row r="24" spans="1:7" ht="20.65" x14ac:dyDescent="0.6">
      <c r="A24" s="37" t="s">
        <v>64</v>
      </c>
      <c r="B24" s="38"/>
      <c r="C24" s="40">
        <v>-6.3688984046676662</v>
      </c>
      <c r="D24" s="40">
        <v>1.1092525402317088</v>
      </c>
      <c r="E24" s="40">
        <v>4.3188294915776915</v>
      </c>
      <c r="F24" s="40">
        <v>3.3268455674112518</v>
      </c>
      <c r="G24" s="40">
        <v>4.0623640876755074</v>
      </c>
    </row>
    <row r="25" spans="1:7" ht="20.65" x14ac:dyDescent="0.6">
      <c r="A25" s="37" t="s">
        <v>65</v>
      </c>
      <c r="B25" s="38"/>
      <c r="C25" s="41">
        <v>-5.6482850322347673</v>
      </c>
      <c r="D25" s="41">
        <v>2.8418878694940863</v>
      </c>
      <c r="E25" s="41">
        <v>3.7458416825473906</v>
      </c>
      <c r="F25" s="40">
        <v>2.9957592171974134</v>
      </c>
      <c r="G25" s="40">
        <v>3.3074459544855106</v>
      </c>
    </row>
    <row r="26" spans="1:7" ht="20.65" x14ac:dyDescent="0.6">
      <c r="A26" s="37" t="s">
        <v>66</v>
      </c>
      <c r="B26" s="38"/>
      <c r="C26" s="40">
        <v>-27.989728496567412</v>
      </c>
      <c r="D26" s="40">
        <v>-39.050716618177439</v>
      </c>
      <c r="E26" s="40">
        <v>24.773128749374649</v>
      </c>
      <c r="F26" s="40">
        <v>4.4477428870834501</v>
      </c>
      <c r="G26" s="40">
        <v>5.5358763074148332</v>
      </c>
    </row>
    <row r="27" spans="1:7" ht="20.65" x14ac:dyDescent="0.6">
      <c r="A27" s="37"/>
      <c r="B27" s="36"/>
      <c r="C27" s="36"/>
      <c r="D27" s="40"/>
      <c r="E27" s="36"/>
      <c r="G27" s="7"/>
    </row>
    <row r="35" spans="1:6" s="5" customFormat="1" ht="21" x14ac:dyDescent="0.65">
      <c r="A35" s="42"/>
      <c r="B35" s="37"/>
      <c r="C35" s="37"/>
      <c r="D35" s="37"/>
      <c r="E35" s="37"/>
      <c r="F35" s="37"/>
    </row>
    <row r="36" spans="1:6" x14ac:dyDescent="0.55000000000000004">
      <c r="A36" s="43"/>
    </row>
    <row r="37" spans="1:6" x14ac:dyDescent="0.55000000000000004">
      <c r="A37" s="43"/>
    </row>
    <row r="38" spans="1:6" x14ac:dyDescent="0.55000000000000004">
      <c r="A38" s="43"/>
    </row>
    <row r="39" spans="1:6" x14ac:dyDescent="0.55000000000000004">
      <c r="A39" s="43"/>
    </row>
    <row r="40" spans="1:6" s="5" customFormat="1" ht="21" x14ac:dyDescent="0.65">
      <c r="A40" s="42"/>
      <c r="B40" s="37"/>
      <c r="C40" s="37"/>
      <c r="D40" s="37"/>
      <c r="E40" s="37"/>
      <c r="F40" s="37"/>
    </row>
    <row r="58" spans="1:6" ht="21" x14ac:dyDescent="0.65">
      <c r="A58" s="42"/>
    </row>
    <row r="59" spans="1:6" ht="21" x14ac:dyDescent="0.65">
      <c r="A59" s="42"/>
    </row>
    <row r="60" spans="1:6" ht="21" x14ac:dyDescent="0.65">
      <c r="A60" s="42"/>
    </row>
    <row r="61" spans="1:6" s="5" customFormat="1" ht="21" x14ac:dyDescent="0.65">
      <c r="A61" s="42"/>
      <c r="B61" s="37"/>
      <c r="C61" s="37"/>
      <c r="D61" s="37"/>
      <c r="E61" s="37"/>
      <c r="F61" s="37"/>
    </row>
    <row r="62" spans="1:6" ht="21" x14ac:dyDescent="0.65">
      <c r="A62" s="42"/>
    </row>
    <row r="63" spans="1:6" ht="21" x14ac:dyDescent="0.65">
      <c r="A63" s="42"/>
    </row>
    <row r="70" spans="1:1" ht="21" x14ac:dyDescent="0.65">
      <c r="A70" s="44"/>
    </row>
    <row r="71" spans="1:1" ht="21" x14ac:dyDescent="0.65">
      <c r="A71" s="44"/>
    </row>
    <row r="72" spans="1:1" ht="21" x14ac:dyDescent="0.65">
      <c r="A72" s="44"/>
    </row>
    <row r="74" spans="1:1" ht="21" x14ac:dyDescent="0.65">
      <c r="A74" s="42"/>
    </row>
    <row r="75" spans="1:1" ht="21" x14ac:dyDescent="0.65">
      <c r="A75" s="44"/>
    </row>
    <row r="77" spans="1:1" ht="21" x14ac:dyDescent="0.65">
      <c r="A77" s="42"/>
    </row>
    <row r="78" spans="1:1" ht="21" x14ac:dyDescent="0.65">
      <c r="A78" s="42"/>
    </row>
    <row r="79" spans="1:1" ht="21" x14ac:dyDescent="0.65">
      <c r="A79" s="42"/>
    </row>
    <row r="80" spans="1:1" ht="21" x14ac:dyDescent="0.65">
      <c r="A80" s="42"/>
    </row>
    <row r="81" spans="1:1" ht="21" x14ac:dyDescent="0.65">
      <c r="A81" s="42"/>
    </row>
    <row r="82" spans="1:1" ht="21" x14ac:dyDescent="0.65">
      <c r="A82" s="42"/>
    </row>
    <row r="83" spans="1:1" ht="21" x14ac:dyDescent="0.65">
      <c r="A83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GDP_Current%</vt:lpstr>
      <vt:lpstr>Nominal GDP growth rate%</vt:lpstr>
      <vt:lpstr>Real growth rate %</vt:lpstr>
      <vt:lpstr>Contr_Growth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WANIKO</dc:creator>
  <cp:lastModifiedBy>MOSES WANIKO</cp:lastModifiedBy>
  <dcterms:created xsi:type="dcterms:W3CDTF">2025-01-30T19:47:31Z</dcterms:created>
  <dcterms:modified xsi:type="dcterms:W3CDTF">2025-07-04T15:44:52Z</dcterms:modified>
</cp:coreProperties>
</file>